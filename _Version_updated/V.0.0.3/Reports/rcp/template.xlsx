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D:\_Dev\HMS-TAX\HMS-TAX\bin\Debug\Reports\rcp\"/>
    </mc:Choice>
  </mc:AlternateContent>
  <xr:revisionPtr revIDLastSave="0" documentId="13_ncr:1_{6CCA746B-F365-44FB-A095-8425C720AFA7}" xr6:coauthVersionLast="47" xr6:coauthVersionMax="47" xr10:uidLastSave="{00000000-0000-0000-0000-000000000000}"/>
  <bookViews>
    <workbookView xWindow="-120" yWindow="-120" windowWidth="29040" windowHeight="15720" tabRatio="946" xr2:uid="{00000000-000D-0000-FFFF-FFFF00000000}"/>
  </bookViews>
  <sheets>
    <sheet name="TAX-INVOICE A5" sheetId="58" r:id="rId1"/>
    <sheet name="COM-INVOICE A5" sheetId="59" r:id="rId2"/>
    <sheet name="TAX INVOICE" sheetId="55" r:id="rId3"/>
    <sheet name="COM-INVOICE " sheetId="56" r:id="rId4"/>
    <sheet name="USD-ACLEDA-HIMVYBOTH-09-2025" sheetId="46" state="hidden" r:id="rId5"/>
    <sheet name="Petty Cash-UM-May, 2023" sheetId="54" state="hidden" r:id="rId6"/>
    <sheet name="TOTAL" sheetId="38" state="hidden" r:id="rId7"/>
    <sheet name="URATA-ER-March, 2022" sheetId="23" state="hidden" r:id="rId8"/>
  </sheets>
  <definedNames>
    <definedName name="_xlnm._FilterDatabase" localSheetId="5" hidden="1">'Petty Cash-UM-May, 2023'!$A$4:$L$10</definedName>
    <definedName name="_xlnm._FilterDatabase" localSheetId="7" hidden="1">'URATA-ER-March, 2022'!$A$3:$G$29</definedName>
    <definedName name="_xlnm._FilterDatabase" localSheetId="4" hidden="1">'USD-ACLEDA-HIMVYBOTH-09-2025'!$A$5:$K$20</definedName>
    <definedName name="_xlnm.Print_Area" localSheetId="3">'COM-INVOICE '!$A$1:$I$43</definedName>
    <definedName name="_xlnm.Print_Area" localSheetId="5">'Petty Cash-UM-May, 2023'!$A$1:$L$31</definedName>
    <definedName name="_xlnm.Print_Area" localSheetId="2">'TAX INVOICE'!$A$1:$I$43</definedName>
    <definedName name="_xlnm.Print_Area" localSheetId="6">TOTAL!$A$1:$I$52</definedName>
    <definedName name="_xlnm.Print_Area" localSheetId="7">'URATA-ER-March, 2022'!$A$1:$G$55</definedName>
    <definedName name="_xlnm.Print_Area" localSheetId="4">'USD-ACLEDA-HIMVYBOTH-09-2025'!$A$1:$L$28</definedName>
    <definedName name="_xlnm.Print_Titles" localSheetId="3">'COM-INVOICE '!$15:$15</definedName>
    <definedName name="_xlnm.Print_Titles" localSheetId="2">'TAX INVOICE'!$15:$15</definedName>
    <definedName name="_xlnm.Print_Titles" localSheetId="7">'URATA-ER-March, 2022'!$3:$3</definedName>
    <definedName name="_xlnm.Print_Titles" localSheetId="4">'USD-ACLEDA-HIMVYBOTH-09-2025'!$4:$4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 i="59" l="1"/>
  <c r="H20" i="59"/>
  <c r="H19" i="59"/>
  <c r="H18" i="59"/>
  <c r="H17" i="59"/>
  <c r="H16" i="59"/>
  <c r="H15" i="59"/>
  <c r="H14" i="59"/>
  <c r="H13" i="59"/>
  <c r="G22" i="59" s="1"/>
  <c r="G24" i="59" s="1"/>
  <c r="T27" i="56"/>
  <c r="T26" i="56"/>
  <c r="T25" i="56"/>
  <c r="T24" i="56"/>
  <c r="H26" i="56"/>
  <c r="H23" i="56"/>
  <c r="L22" i="56"/>
  <c r="H22" i="56"/>
  <c r="H21" i="56"/>
  <c r="H20" i="56"/>
  <c r="H19" i="56"/>
  <c r="H18" i="56"/>
  <c r="H17" i="56"/>
  <c r="H16" i="56"/>
  <c r="H15" i="56"/>
  <c r="G25" i="58" l="1"/>
  <c r="G26" i="58" s="1"/>
  <c r="G27" i="58" s="1"/>
  <c r="G29" i="58" s="1"/>
  <c r="H24" i="56"/>
  <c r="H16" i="55" l="1"/>
  <c r="L22" i="55"/>
  <c r="I49" i="46"/>
  <c r="I56" i="46"/>
  <c r="I50" i="46"/>
  <c r="I55" i="46"/>
  <c r="I62" i="46"/>
  <c r="I54" i="46"/>
  <c r="H34" i="46"/>
  <c r="H35" i="46"/>
  <c r="H39" i="46"/>
  <c r="H20" i="46"/>
  <c r="I47" i="46" l="1"/>
  <c r="I72" i="46"/>
  <c r="I7" i="46"/>
  <c r="H41" i="46" s="1"/>
  <c r="I6" i="46"/>
  <c r="H40" i="46"/>
  <c r="H37" i="46"/>
  <c r="H38" i="46"/>
  <c r="I42" i="46" l="1"/>
  <c r="I43" i="46"/>
  <c r="I44" i="46"/>
  <c r="I45" i="46"/>
  <c r="I46" i="46"/>
  <c r="I48" i="46"/>
  <c r="I51" i="46"/>
  <c r="I52" i="46"/>
  <c r="I53" i="46"/>
  <c r="I57" i="46"/>
  <c r="I58" i="46"/>
  <c r="I59" i="46"/>
  <c r="I60" i="46"/>
  <c r="I61" i="46"/>
  <c r="I63" i="46"/>
  <c r="I64" i="46"/>
  <c r="I65" i="46"/>
  <c r="I66" i="46"/>
  <c r="I67" i="46"/>
  <c r="I68" i="46"/>
  <c r="I69" i="46"/>
  <c r="I70" i="46"/>
  <c r="I71" i="46"/>
  <c r="I73" i="46"/>
  <c r="H36" i="46"/>
  <c r="I20" i="46" l="1"/>
  <c r="J20" i="46"/>
  <c r="K6" i="46"/>
  <c r="K7" i="46" s="1"/>
  <c r="K8" i="46" l="1"/>
  <c r="K9" i="46" s="1"/>
  <c r="K20" i="46"/>
  <c r="I10" i="54" l="1"/>
  <c r="J5" i="54"/>
  <c r="J6" i="54" s="1"/>
  <c r="J7" i="54" s="1"/>
  <c r="J8" i="54" s="1"/>
  <c r="J9" i="54" s="1"/>
  <c r="K10" i="46" l="1"/>
  <c r="K11" i="46" s="1"/>
  <c r="K12" i="46" s="1"/>
  <c r="K13" i="46" s="1"/>
  <c r="K14" i="46" s="1"/>
  <c r="K15" i="46" s="1"/>
  <c r="K16" i="46" s="1"/>
  <c r="K17" i="46" s="1"/>
  <c r="K18" i="46" s="1"/>
  <c r="K19" i="46" s="1"/>
  <c r="H31" i="54"/>
  <c r="I30" i="54"/>
  <c r="J30" i="54" s="1"/>
  <c r="I29" i="54"/>
  <c r="J29" i="54" s="1"/>
  <c r="I28" i="54"/>
  <c r="J28" i="54" s="1"/>
  <c r="I27" i="54"/>
  <c r="J27" i="54" s="1"/>
  <c r="I26" i="54"/>
  <c r="J26" i="54" s="1"/>
  <c r="I25" i="54"/>
  <c r="J25" i="54" s="1"/>
  <c r="I24" i="54"/>
  <c r="J24" i="54" s="1"/>
  <c r="I23" i="54"/>
  <c r="J23" i="54" s="1"/>
  <c r="I22" i="54"/>
  <c r="H21" i="54"/>
  <c r="G19" i="54"/>
  <c r="M14" i="54"/>
  <c r="H10" i="54"/>
  <c r="K5" i="54"/>
  <c r="I31" i="54" l="1"/>
  <c r="I32" i="54" s="1"/>
  <c r="J10" i="54"/>
  <c r="J31" i="54"/>
  <c r="K10" i="54"/>
  <c r="C7" i="38" l="1"/>
  <c r="B7" i="38"/>
  <c r="C3" i="38"/>
  <c r="B3" i="38"/>
  <c r="K26" i="46" l="1"/>
  <c r="K28" i="46" s="1"/>
  <c r="C26" i="38" l="1"/>
  <c r="C54" i="38"/>
  <c r="B54" i="38"/>
  <c r="G47" i="38"/>
  <c r="G46" i="38"/>
  <c r="G48" i="38" l="1"/>
  <c r="H7" i="38" l="1"/>
  <c r="G7" i="38"/>
  <c r="H29" i="38"/>
  <c r="G29" i="38"/>
  <c r="O20" i="46"/>
  <c r="G32" i="46"/>
  <c r="I7" i="38" l="1"/>
  <c r="D54" i="38"/>
  <c r="I74" i="46"/>
  <c r="I75" i="46" s="1"/>
  <c r="H74" i="46"/>
  <c r="H75" i="46" s="1"/>
  <c r="D7" i="38" l="1"/>
  <c r="D3" i="38"/>
  <c r="D36" i="38"/>
  <c r="H21" i="38" l="1"/>
  <c r="G21" i="38"/>
  <c r="H12" i="38"/>
  <c r="C36" i="38"/>
  <c r="B36" i="38"/>
  <c r="B26" i="38"/>
  <c r="I12" i="38" l="1"/>
  <c r="I29" i="38"/>
  <c r="I36" i="38"/>
  <c r="I21" i="38"/>
  <c r="H36" i="38" l="1"/>
  <c r="G36" i="38"/>
  <c r="G12" i="38"/>
  <c r="E42" i="23" l="1"/>
  <c r="E54" i="23" l="1"/>
  <c r="E53" i="23"/>
  <c r="E48" i="23"/>
  <c r="E52" i="23"/>
  <c r="E47" i="23"/>
  <c r="E51" i="23"/>
  <c r="E50" i="23"/>
  <c r="E49" i="23"/>
  <c r="E46" i="23"/>
  <c r="E45" i="23"/>
  <c r="E44" i="23"/>
  <c r="E43" i="23"/>
  <c r="E41" i="23"/>
  <c r="E40" i="23"/>
  <c r="D38" i="23"/>
  <c r="G29" i="23"/>
  <c r="E55" i="23" l="1"/>
  <c r="D26" i="38"/>
  <c r="F54" i="38" s="1"/>
  <c r="H15" i="55"/>
  <c r="H24" i="55" s="1"/>
  <c r="H25" i="55" l="1"/>
  <c r="H26" i="55" s="1"/>
  <c r="H28" i="5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3" authorId="0" shapeId="0" xr:uid="{ADF14CAA-F706-4F11-8578-8604065F77B6}">
      <text>
        <r>
          <rPr>
            <b/>
            <sz val="9"/>
            <color indexed="81"/>
            <rFont val="Tahoma"/>
            <family val="2"/>
          </rPr>
          <t>Admin:</t>
        </r>
        <r>
          <rPr>
            <sz val="9"/>
            <color indexed="81"/>
            <rFont val="Tahoma"/>
            <family val="2"/>
          </rPr>
          <t xml:space="preserve">
Includung ANINA Parking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5" authorId="0" shapeId="0" xr:uid="{00000000-0006-0000-0500-000001000000}">
      <text>
        <r>
          <rPr>
            <b/>
            <sz val="9"/>
            <color indexed="81"/>
            <rFont val="Tahoma"/>
            <family val="2"/>
          </rPr>
          <t>Admin:</t>
        </r>
        <r>
          <rPr>
            <sz val="9"/>
            <color indexed="81"/>
            <rFont val="Tahoma"/>
            <family val="2"/>
          </rPr>
          <t xml:space="preserve">
Includung ANINA Parking</t>
        </r>
      </text>
    </comment>
    <comment ref="F32" authorId="0" shapeId="0" xr:uid="{00000000-0006-0000-0500-000002000000}">
      <text>
        <r>
          <rPr>
            <b/>
            <sz val="9"/>
            <color indexed="81"/>
            <rFont val="Tahoma"/>
            <family val="2"/>
          </rPr>
          <t>Admin:</t>
        </r>
        <r>
          <rPr>
            <sz val="9"/>
            <color indexed="81"/>
            <rFont val="Tahoma"/>
            <family val="2"/>
          </rPr>
          <t xml:space="preserve">
Includung ANINA Parking</t>
        </r>
      </text>
    </comment>
  </commentList>
</comments>
</file>

<file path=xl/sharedStrings.xml><?xml version="1.0" encoding="utf-8"?>
<sst xmlns="http://schemas.openxmlformats.org/spreadsheetml/2006/main" count="610" uniqueCount="229">
  <si>
    <t>Others</t>
  </si>
  <si>
    <t>General Expenses</t>
  </si>
  <si>
    <t>Total</t>
  </si>
  <si>
    <t>Signature:</t>
  </si>
  <si>
    <t>Date:</t>
  </si>
  <si>
    <t>Revenue</t>
  </si>
  <si>
    <t>Opening Balance</t>
  </si>
  <si>
    <t>PAYMENT</t>
  </si>
  <si>
    <t>RECEIPT</t>
  </si>
  <si>
    <t>TOTAL</t>
  </si>
  <si>
    <t>BANK BALANCE</t>
  </si>
  <si>
    <t>TRANSFER</t>
  </si>
  <si>
    <t>Bank Charge</t>
  </si>
  <si>
    <t>DATE</t>
  </si>
  <si>
    <t>RECEIPT PAYAMENT</t>
  </si>
  <si>
    <t>VOUCHER NUMBER</t>
  </si>
  <si>
    <t>PAYEE</t>
  </si>
  <si>
    <t>CHEQUE No.</t>
  </si>
  <si>
    <t>DETAILS</t>
  </si>
  <si>
    <t>IN</t>
  </si>
  <si>
    <t>OUT</t>
  </si>
  <si>
    <t>BALANCE</t>
  </si>
  <si>
    <t>VOUCHER</t>
  </si>
  <si>
    <t>Account Summary</t>
  </si>
  <si>
    <t>Communication Fee</t>
  </si>
  <si>
    <t>Tax Payment</t>
  </si>
  <si>
    <t>Travelling Expence</t>
  </si>
  <si>
    <t>ACCOUNT NAME</t>
  </si>
  <si>
    <t>TOTAL EXPENSES</t>
  </si>
  <si>
    <t>Reimbursement</t>
  </si>
  <si>
    <t xml:space="preserve">Utilities </t>
  </si>
  <si>
    <t>SALE REVENUES</t>
  </si>
  <si>
    <t>OPERATING EXPENSES</t>
  </si>
  <si>
    <t>AP</t>
  </si>
  <si>
    <t>Cash Advance</t>
  </si>
  <si>
    <t>Amount In</t>
  </si>
  <si>
    <t>Amount Out</t>
  </si>
  <si>
    <t>Interest Income</t>
  </si>
  <si>
    <t>Professional Fee</t>
  </si>
  <si>
    <t>Approval By: Director</t>
  </si>
  <si>
    <t>Interest Expense</t>
  </si>
  <si>
    <t>Salary Expense</t>
  </si>
  <si>
    <t>Entertainment Expense</t>
  </si>
  <si>
    <t>Outstanding Cheque</t>
  </si>
  <si>
    <t>AR</t>
  </si>
  <si>
    <t>AR/AP</t>
  </si>
  <si>
    <t>Refund/Return</t>
  </si>
  <si>
    <t>Rental Fee</t>
  </si>
  <si>
    <t>Leasing Fee</t>
  </si>
  <si>
    <t>Insurance Expense</t>
    <phoneticPr fontId="28"/>
  </si>
  <si>
    <t>Office Supplies</t>
  </si>
  <si>
    <t>Construction Supplies</t>
  </si>
  <si>
    <t>AMOUNT</t>
  </si>
  <si>
    <t>Prepared By: Accountant Manager</t>
  </si>
  <si>
    <t>Amount</t>
  </si>
  <si>
    <t>Repair/Mainternance</t>
  </si>
  <si>
    <t>Insurance Expense</t>
  </si>
  <si>
    <t>Deposit Rental</t>
  </si>
  <si>
    <t>Seniority Expense</t>
  </si>
  <si>
    <t>Receive Petty Cash</t>
  </si>
  <si>
    <t>EXPENSES REIMBURSEMENT FOR JANUARY 2022</t>
  </si>
  <si>
    <t>URATA (CAMBODIA) CO., LTD.</t>
  </si>
  <si>
    <t>Petty Cash</t>
  </si>
  <si>
    <t>Cash Deposit</t>
  </si>
  <si>
    <t>Insurance Expense</t>
    <phoneticPr fontId="25"/>
  </si>
  <si>
    <t>Supplies Expense</t>
  </si>
  <si>
    <t>Receive Cash Advance</t>
  </si>
  <si>
    <t>WHT Credit Assets</t>
  </si>
  <si>
    <t>51310 · Other Rental</t>
  </si>
  <si>
    <t>51600 · Transportation Expense</t>
  </si>
  <si>
    <t>51800 · Supplies Expense</t>
  </si>
  <si>
    <t>63030 · Transportation Expenses</t>
  </si>
  <si>
    <t>63050 · Office Supplies</t>
  </si>
  <si>
    <t>63130 · Other Expense</t>
  </si>
  <si>
    <t>63120 · Meeting Expense</t>
  </si>
  <si>
    <t>DIRECT CREDIT</t>
  </si>
  <si>
    <t>DIRECT DEBIT</t>
  </si>
  <si>
    <t>CPB-UM</t>
  </si>
  <si>
    <t>AC-UC</t>
  </si>
  <si>
    <t>AC-UI</t>
  </si>
  <si>
    <t>ADVANCE</t>
  </si>
  <si>
    <t>PC-UM</t>
  </si>
  <si>
    <t>PC-UC</t>
  </si>
  <si>
    <t>PC-UI</t>
  </si>
  <si>
    <t>Repay Loan</t>
  </si>
  <si>
    <t>Mr. MICHIKAMI MASAHIRO</t>
  </si>
  <si>
    <t>63070 · Telephone Expense</t>
  </si>
  <si>
    <t>63080 · Mobile Phone Expense</t>
  </si>
  <si>
    <t xml:space="preserve">64081 · Entertainment Expense </t>
  </si>
  <si>
    <t>51700 · Mobile Phone Expense</t>
  </si>
  <si>
    <t>52300 · Other Expense</t>
  </si>
  <si>
    <t>55600 · Transportation Expense</t>
  </si>
  <si>
    <t>55500 · Supplies Expense</t>
  </si>
  <si>
    <t>55800 · General Expense</t>
  </si>
  <si>
    <t>55300 · Communication Expense</t>
  </si>
  <si>
    <t>Return Petty Cash</t>
  </si>
  <si>
    <t>Balance</t>
  </si>
  <si>
    <t>BALANCE
(USD)</t>
  </si>
  <si>
    <t>OUT
(KHR)</t>
  </si>
  <si>
    <t>REMARK</t>
  </si>
  <si>
    <t>Ms. MO MARY</t>
  </si>
  <si>
    <t>CASH BALANCE</t>
  </si>
  <si>
    <t>Balance-USD</t>
  </si>
  <si>
    <t>TOTAL-USD</t>
  </si>
  <si>
    <t>Assets</t>
  </si>
  <si>
    <t>AC-UM-KHR</t>
  </si>
  <si>
    <t>ACLEDA</t>
  </si>
  <si>
    <t>Less: WHT 4% of Interest Income</t>
  </si>
  <si>
    <t>Total Interest Income</t>
  </si>
  <si>
    <t>63000 · Professional Fee</t>
  </si>
  <si>
    <t>AC-UM-USD</t>
  </si>
  <si>
    <t>NO.</t>
    <phoneticPr fontId="2"/>
  </si>
  <si>
    <t>DATE</t>
    <phoneticPr fontId="2"/>
  </si>
  <si>
    <t>CASH IN 
(USD)</t>
  </si>
  <si>
    <t>CASH OUT
(USD)</t>
  </si>
  <si>
    <t xml:space="preserve">GRAB TUK TUK </t>
  </si>
  <si>
    <t>Prepared By: Accountant</t>
  </si>
  <si>
    <t>Checked By: Accountant Manager</t>
  </si>
  <si>
    <t>Tuk Tuk Fee from GDT to MLMUPC for submit Urata Letter, Collect Urata QR Code and Urata Audit Letter (3 times)</t>
  </si>
  <si>
    <t>PETTY CASH OF URATA-MANAGEMENT FOR MAY 2023 (UM)</t>
  </si>
  <si>
    <t>Family Condolence Money for Ms. Mo Mary (Death of Mother)</t>
  </si>
  <si>
    <t>Petty Cash of Management for May 2023</t>
  </si>
  <si>
    <t>UC-2023-01</t>
  </si>
  <si>
    <t>PC-UM23-05-01</t>
  </si>
  <si>
    <t>PC-UM23-05-02</t>
  </si>
  <si>
    <t>Phone Top Up for Ms. Mary for May 2023</t>
  </si>
  <si>
    <t>Return Remaining Petty Cash for May 2023 Deposited to ACLEDA-UM</t>
  </si>
  <si>
    <r>
      <t xml:space="preserve">Date:      </t>
    </r>
    <r>
      <rPr>
        <sz val="12"/>
        <rFont val="Cambria"/>
        <family val="1"/>
      </rPr>
      <t xml:space="preserve">         30-May-2023        </t>
    </r>
  </si>
  <si>
    <t>UCM-PV23062</t>
  </si>
  <si>
    <t>UCM-RV23019</t>
  </si>
  <si>
    <t>Operating Supplies</t>
  </si>
  <si>
    <t>Capital</t>
  </si>
  <si>
    <t>Business License Expense</t>
  </si>
  <si>
    <t>Office Rental</t>
  </si>
  <si>
    <t xml:space="preserve">Electrice Utilities </t>
  </si>
  <si>
    <t>Gain on Exchange Rate</t>
  </si>
  <si>
    <t>Prepared By: Accountant &amp; Tax</t>
  </si>
  <si>
    <t>VAT Output</t>
  </si>
  <si>
    <t>Telephone &amp; Internet</t>
  </si>
  <si>
    <t>Bonus &amp; Incentive</t>
  </si>
  <si>
    <t>Transfer</t>
  </si>
  <si>
    <t>HIMVYBOTH PHARMACEUTICALS CO., LTD.</t>
  </si>
  <si>
    <t>Medicines Revenue</t>
  </si>
  <si>
    <t>Accounts Receivable</t>
  </si>
  <si>
    <t>Advance to Suppliers</t>
  </si>
  <si>
    <t>Inventory of Medicines</t>
  </si>
  <si>
    <t>Prepaid Import Expenses</t>
  </si>
  <si>
    <t>Import Duty &amp; Customs Fees</t>
  </si>
  <si>
    <t>Freight &amp; Shipping Charges</t>
  </si>
  <si>
    <t>Insurance on Shipments</t>
  </si>
  <si>
    <t>Cost Of Medicines</t>
  </si>
  <si>
    <t>Transportation</t>
  </si>
  <si>
    <t xml:space="preserve">Water Utilities </t>
  </si>
  <si>
    <t>Fixed Asset</t>
  </si>
  <si>
    <t>CASH ON HAND</t>
  </si>
  <si>
    <t>ACCOUNT LEDGER FOR AUGUST 2019</t>
  </si>
  <si>
    <t>ហ៊ីមវីបុត្រ ហ្វាម៉ាស៊្យូធីខល ឯ.ក</t>
  </si>
  <si>
    <r>
      <t xml:space="preserve">លេខអត្តសញ្ញាណកម្ម អតប </t>
    </r>
    <r>
      <rPr>
        <sz val="16"/>
        <rFont val="Cambria"/>
        <family val="1"/>
        <scheme val="major"/>
      </rPr>
      <t>[VAT​TIN]: K010-90193866</t>
    </r>
  </si>
  <si>
    <t>អាស័យដ្ឋាន៖​ #៧១៣​ ផ្លូវH៧ ភូមិត្រពាំងរំចេក សង្កាត់ចោមចៅទី១ ខណ្ឌពោធិ៍សែនជ័យ រាជធានីភ្នំពេញ</t>
  </si>
  <si>
    <t xml:space="preserve">Customer Name : </t>
  </si>
  <si>
    <t>PREAHKET MEALEA HOSPITAL</t>
  </si>
  <si>
    <t xml:space="preserve">Address : </t>
  </si>
  <si>
    <t>Phone Number :</t>
  </si>
  <si>
    <t>Invoice No:</t>
  </si>
  <si>
    <t>No.</t>
  </si>
  <si>
    <t xml:space="preserve"> Description </t>
  </si>
  <si>
    <t>Expiry Date</t>
  </si>
  <si>
    <t>QTY</t>
  </si>
  <si>
    <t>Unit Price</t>
  </si>
  <si>
    <t>Discount</t>
  </si>
  <si>
    <t>CUSTOMER</t>
  </si>
  <si>
    <t>ADRES</t>
  </si>
  <si>
    <t>PHONE</t>
  </si>
  <si>
    <t>PRODUCT  NAME</t>
  </si>
  <si>
    <t>Amloneo G5</t>
  </si>
  <si>
    <t>Amloneo G10</t>
  </si>
  <si>
    <t>Lisozen5</t>
  </si>
  <si>
    <t>Lisozen10</t>
  </si>
  <si>
    <t>Telwise 40</t>
  </si>
  <si>
    <t>Rozwise</t>
  </si>
  <si>
    <t>Rivowise 10</t>
  </si>
  <si>
    <t>Rivowise20</t>
  </si>
  <si>
    <t>Stelucid O</t>
  </si>
  <si>
    <t>Intuwise L</t>
  </si>
  <si>
    <t>Ez wise</t>
  </si>
  <si>
    <t>Merozen1g</t>
  </si>
  <si>
    <t>Ketoren Z</t>
  </si>
  <si>
    <t>Riwise</t>
  </si>
  <si>
    <t>Pipzen T4.5</t>
  </si>
  <si>
    <t>Zolidart600</t>
  </si>
  <si>
    <t>Clopiwise75</t>
  </si>
  <si>
    <t>SUB TOTAL USD</t>
  </si>
  <si>
    <t>VAT 10%</t>
  </si>
  <si>
    <t>GRAND USD TOTAL INCLUDED VAT</t>
  </si>
  <si>
    <t>NBC EXCHANGE RATE</t>
  </si>
  <si>
    <t>GRAND TOTAL KHMER RIEL</t>
  </si>
  <si>
    <t>Packing</t>
  </si>
  <si>
    <t>Box</t>
  </si>
  <si>
    <t>Bank Transfer:</t>
  </si>
  <si>
    <t>Bank Name: ABA Bank</t>
  </si>
  <si>
    <t>Account Name:HIMVYBOTH PHARMACEUTICALS</t>
  </si>
  <si>
    <t>Account Number: 000708696</t>
  </si>
  <si>
    <t>Price</t>
  </si>
  <si>
    <t>2025-0000</t>
  </si>
  <si>
    <t>General</t>
  </si>
  <si>
    <t>Tel/Telegram: 012 278 096/ 096 5 306 143</t>
  </si>
  <si>
    <t xml:space="preserve">Customer Name and Signature </t>
  </si>
  <si>
    <t xml:space="preserve">Delivery Name and Signature </t>
  </si>
  <si>
    <t>វិក្កយបត្រអាករ</t>
  </si>
  <si>
    <t>TAX INVOICE</t>
  </si>
  <si>
    <t>វិក្កយបត្រ</t>
  </si>
  <si>
    <t>INVOICE</t>
  </si>
  <si>
    <t>ADRESS</t>
  </si>
  <si>
    <t>Phone Penh</t>
  </si>
  <si>
    <t>Phnone Penh</t>
  </si>
  <si>
    <t xml:space="preserve">015 025 025 </t>
  </si>
  <si>
    <t>017 025 552</t>
  </si>
  <si>
    <t>TOTAL USD</t>
  </si>
  <si>
    <t>Price without VAT</t>
  </si>
  <si>
    <t>Exp-Date</t>
  </si>
  <si>
    <t>015 123 456</t>
  </si>
  <si>
    <t>Account Name: HIMVYBOTH 
PHARMACEUTICALS</t>
  </si>
  <si>
    <t>SUB TOTAL USD:</t>
  </si>
  <si>
    <t>VAT 10%:</t>
  </si>
  <si>
    <t>GRAND TOTAL USD+VAT:</t>
  </si>
  <si>
    <t>NBC EXCHANGE RATE:</t>
  </si>
  <si>
    <t>GRAND TOTAL KHR:</t>
  </si>
  <si>
    <t>BOX</t>
  </si>
  <si>
    <t>អាស័យដ្ឋាន៖​ #៧១៣​ ផ្លូវH៧ ភូមិត្រពាំងរំចេក សង្កាត់ចោមចៅទី១
 ខណ្ឌពោធិ៍សែនជ័យ រាជធានីភ្នំពេញ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</si>
</sst>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7" formatCode="&quot;$&quot;#,##0.00;\-&quot;$&quot;#,##0.00"/>
    <numFmt numFmtId="8" formatCode="&quot;$&quot;#,##0.00;[Red]\-&quot;$&quot;#,##0.00"/>
    <numFmt numFmtId="44" formatCode="_-&quot;$&quot;* #,##0.00_-;\-&quot;$&quot;* #,##0.00_-;_-&quot;$&quot;* &quot;-&quot;??_-;_-@_-"/>
    <numFmt numFmtId="164" formatCode="_(&quot;$&quot;* #,##0.00_);_(&quot;$&quot;* \(#,##0.00\);_(&quot;$&quot;* &quot;-&quot;??_);_(@_)"/>
    <numFmt numFmtId="165" formatCode="_(* #,##0.00_);_(* \(#,##0.00\);_(* &quot;-&quot;??_);_(@_)"/>
    <numFmt numFmtId="166" formatCode="_ * #,##0.00_ ;_ * \-#,##0.00_ ;_ * &quot;-&quot;??_ ;_ @_ "/>
    <numFmt numFmtId="167" formatCode="_-\¥* #,##0.00_-\ ;\-\¥* #,##0.00_-\ ;_-\¥* &quot;-&quot;??_-\ ;_-@_-"/>
    <numFmt numFmtId="168" formatCode="[$-409]d\-mmm;@"/>
    <numFmt numFmtId="169" formatCode="\¥#,##0_);[Red]\(\¥#,##0\)"/>
    <numFmt numFmtId="170" formatCode="dd\-mmm\-yy"/>
    <numFmt numFmtId="171" formatCode="dd\-mmm\-yyyy"/>
    <numFmt numFmtId="172" formatCode="0000#"/>
    <numFmt numFmtId="173" formatCode="&quot;WT-PV21&quot;000"/>
    <numFmt numFmtId="174" formatCode="&quot;UC-RV22&quot;000"/>
    <numFmt numFmtId="175" formatCode="&quot;UC-PV22&quot;000"/>
    <numFmt numFmtId="176" formatCode="_(\R* #,##0_);_(\R* \(#,##0\);_(\R* &quot;-&quot;_);_(@_)"/>
    <numFmt numFmtId="177" formatCode="_(\R* #,##0_);_(\R* \(#,##0\);_(\R\ &quot;-&quot;_);_(@_)"/>
    <numFmt numFmtId="178" formatCode="dd\-mm\-yyyy"/>
    <numFmt numFmtId="179" formatCode="dd\-mm\-yy"/>
    <numFmt numFmtId="180" formatCode="[$-409]dd\-mmm\-yy;@"/>
    <numFmt numFmtId="181" formatCode="\៛#,##0;\-\៛#,##0"/>
  </numFmts>
  <fonts count="93">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b/>
      <sz val="10"/>
      <name val="Cambria"/>
      <family val="1"/>
      <scheme val="major"/>
    </font>
    <font>
      <sz val="10"/>
      <name val="Cambria"/>
      <family val="1"/>
      <scheme val="major"/>
    </font>
    <font>
      <sz val="12"/>
      <name val="Cambria"/>
      <family val="1"/>
      <scheme val="major"/>
    </font>
    <font>
      <sz val="12"/>
      <color indexed="10"/>
      <name val="Cambria"/>
      <family val="1"/>
      <scheme val="major"/>
    </font>
    <font>
      <i/>
      <sz val="10"/>
      <name val="Cambria"/>
      <family val="1"/>
      <scheme val="major"/>
    </font>
    <font>
      <i/>
      <sz val="11"/>
      <name val="Cambria"/>
      <family val="1"/>
      <scheme val="major"/>
    </font>
    <font>
      <i/>
      <sz val="12"/>
      <name val="Cambria"/>
      <family val="1"/>
      <scheme val="major"/>
    </font>
    <font>
      <b/>
      <i/>
      <sz val="12"/>
      <name val="Cambria"/>
      <family val="1"/>
      <scheme val="major"/>
    </font>
    <font>
      <b/>
      <i/>
      <sz val="11"/>
      <name val="Cambria"/>
      <family val="1"/>
      <scheme val="major"/>
    </font>
    <font>
      <b/>
      <sz val="22"/>
      <name val="Cambria"/>
      <family val="1"/>
      <scheme val="major"/>
    </font>
    <font>
      <b/>
      <sz val="20"/>
      <color indexed="10"/>
      <name val="Cambria"/>
      <family val="1"/>
      <scheme val="major"/>
    </font>
    <font>
      <b/>
      <sz val="14"/>
      <name val="Cambria"/>
      <family val="1"/>
      <scheme val="major"/>
    </font>
    <font>
      <sz val="12"/>
      <name val="ＭＳ Ｐゴシック"/>
      <family val="2"/>
      <charset val="128"/>
    </font>
    <font>
      <b/>
      <i/>
      <sz val="14"/>
      <name val="Cambria"/>
      <family val="1"/>
      <scheme val="major"/>
    </font>
    <font>
      <b/>
      <i/>
      <u val="singleAccounting"/>
      <sz val="12"/>
      <name val="Cambria"/>
      <family val="1"/>
      <scheme val="major"/>
    </font>
    <font>
      <sz val="11"/>
      <color theme="1"/>
      <name val="Calibri"/>
      <family val="3"/>
      <charset val="128"/>
      <scheme val="minor"/>
    </font>
    <font>
      <sz val="12"/>
      <color rgb="FFFF0000"/>
      <name val="Cambria"/>
      <family val="1"/>
      <scheme val="major"/>
    </font>
    <font>
      <b/>
      <sz val="12"/>
      <color rgb="FFFF0000"/>
      <name val="Cambria"/>
      <family val="1"/>
      <scheme val="major"/>
    </font>
    <font>
      <sz val="11"/>
      <color rgb="FFFF0000"/>
      <name val="Cambria"/>
      <family val="1"/>
      <scheme val="major"/>
    </font>
    <font>
      <i/>
      <sz val="12"/>
      <color rgb="FF0000FF"/>
      <name val="Cambria"/>
      <family val="1"/>
      <scheme val="major"/>
    </font>
    <font>
      <i/>
      <sz val="11"/>
      <color rgb="FF0000FF"/>
      <name val="Cambria"/>
      <family val="1"/>
      <scheme val="major"/>
    </font>
    <font>
      <sz val="10"/>
      <name val="Arial"/>
      <family val="2"/>
    </font>
    <font>
      <b/>
      <sz val="9"/>
      <color indexed="81"/>
      <name val="Tahoma"/>
      <family val="2"/>
    </font>
    <font>
      <sz val="9"/>
      <color indexed="81"/>
      <name val="Tahoma"/>
      <family val="2"/>
    </font>
    <font>
      <sz val="12"/>
      <name val="ＭＳ Ｐゴシック"/>
      <family val="3"/>
      <charset val="128"/>
    </font>
    <font>
      <sz val="6"/>
      <name val="Calibri"/>
      <family val="2"/>
      <charset val="128"/>
    </font>
    <font>
      <sz val="10"/>
      <color rgb="FF000000"/>
      <name val="Times New Roman"/>
      <family val="1"/>
    </font>
    <font>
      <i/>
      <sz val="11"/>
      <color rgb="FFFF0000"/>
      <name val="Cambria"/>
      <family val="1"/>
      <scheme val="major"/>
    </font>
    <font>
      <b/>
      <u val="singleAccounting"/>
      <sz val="12"/>
      <name val="Cambria"/>
      <family val="1"/>
      <scheme val="major"/>
    </font>
    <font>
      <sz val="10"/>
      <name val="Times New Roman"/>
      <family val="1"/>
    </font>
    <font>
      <i/>
      <sz val="12"/>
      <color rgb="FFFF0000"/>
      <name val="Cambria"/>
      <family val="1"/>
      <scheme val="major"/>
    </font>
    <font>
      <sz val="8"/>
      <name val="Calibri"/>
      <family val="2"/>
      <charset val="128"/>
    </font>
    <font>
      <b/>
      <sz val="22"/>
      <name val="Cambria"/>
      <family val="1"/>
    </font>
    <font>
      <sz val="11"/>
      <name val="Cambria"/>
      <family val="1"/>
    </font>
    <font>
      <b/>
      <sz val="20"/>
      <name val="Cambria"/>
      <family val="1"/>
    </font>
    <font>
      <b/>
      <sz val="11"/>
      <name val="Cambria"/>
      <family val="1"/>
    </font>
    <font>
      <b/>
      <sz val="10"/>
      <name val="Cambria"/>
      <family val="1"/>
    </font>
    <font>
      <b/>
      <sz val="11"/>
      <color rgb="FFFF0000"/>
      <name val="Cambria"/>
      <family val="1"/>
    </font>
    <font>
      <b/>
      <sz val="12"/>
      <name val="Cambria"/>
      <family val="1"/>
    </font>
    <font>
      <sz val="10"/>
      <name val="Cambria"/>
      <family val="1"/>
    </font>
    <font>
      <sz val="11"/>
      <color indexed="8"/>
      <name val="Cambria"/>
      <family val="1"/>
    </font>
    <font>
      <i/>
      <sz val="11"/>
      <color rgb="FF0000FF"/>
      <name val="Cambria"/>
      <family val="1"/>
    </font>
    <font>
      <sz val="11"/>
      <color indexed="10"/>
      <name val="Cambria"/>
      <family val="1"/>
    </font>
    <font>
      <b/>
      <sz val="12"/>
      <color indexed="10"/>
      <name val="Cambria"/>
      <family val="1"/>
    </font>
    <font>
      <i/>
      <sz val="12"/>
      <name val="Cambria"/>
      <family val="1"/>
    </font>
    <font>
      <i/>
      <sz val="11"/>
      <name val="Cambria"/>
      <family val="1"/>
    </font>
    <font>
      <b/>
      <i/>
      <sz val="12"/>
      <name val="Cambria"/>
      <family val="1"/>
    </font>
    <font>
      <b/>
      <i/>
      <sz val="11"/>
      <color rgb="FF0000FF"/>
      <name val="Cambria"/>
      <family val="1"/>
    </font>
    <font>
      <sz val="12"/>
      <name val="Cambria"/>
      <family val="1"/>
    </font>
    <font>
      <b/>
      <u val="singleAccounting"/>
      <sz val="12"/>
      <name val="Cambria"/>
      <family val="1"/>
    </font>
    <font>
      <b/>
      <i/>
      <sz val="14"/>
      <name val="Cambria"/>
      <family val="1"/>
    </font>
    <font>
      <b/>
      <i/>
      <u val="singleAccounting"/>
      <sz val="12"/>
      <name val="Cambria"/>
      <family val="1"/>
    </font>
    <font>
      <i/>
      <sz val="11"/>
      <color rgb="FFFF0000"/>
      <name val="Cambria"/>
      <family val="1"/>
    </font>
    <font>
      <sz val="11"/>
      <color rgb="FFFF0000"/>
      <name val="Cambria"/>
      <family val="1"/>
    </font>
    <font>
      <sz val="12"/>
      <name val="ＭＳ Ｐゴシック"/>
      <charset val="134"/>
    </font>
    <font>
      <sz val="12"/>
      <name val="Calibri"/>
      <family val="2"/>
    </font>
    <font>
      <b/>
      <sz val="18"/>
      <name val="Cambria"/>
      <family val="1"/>
      <scheme val="major"/>
    </font>
    <font>
      <sz val="14"/>
      <name val="Khmer OS Content"/>
    </font>
    <font>
      <sz val="16"/>
      <name val="Cambria"/>
      <family val="1"/>
      <scheme val="major"/>
    </font>
    <font>
      <sz val="12.5"/>
      <name val="Khmer OS Content"/>
    </font>
    <font>
      <sz val="14"/>
      <name val="Cambria"/>
      <family val="1"/>
      <scheme val="major"/>
    </font>
    <font>
      <b/>
      <sz val="14"/>
      <color indexed="64"/>
      <name val="Cambria"/>
      <family val="1"/>
      <scheme val="major"/>
    </font>
    <font>
      <sz val="18"/>
      <color rgb="FFFF0000"/>
      <name val="Cambria"/>
      <family val="1"/>
      <scheme val="major"/>
    </font>
    <font>
      <i/>
      <sz val="14"/>
      <name val="Cambria"/>
      <family val="1"/>
      <scheme val="major"/>
    </font>
    <font>
      <b/>
      <sz val="16"/>
      <name val="Cambria"/>
      <family val="1"/>
      <scheme val="major"/>
    </font>
    <font>
      <b/>
      <sz val="16"/>
      <color rgb="FFFF0000"/>
      <name val="Cambria"/>
      <family val="1"/>
      <scheme val="major"/>
    </font>
    <font>
      <i/>
      <sz val="16"/>
      <name val="Cambria"/>
      <family val="1"/>
      <scheme val="major"/>
    </font>
    <font>
      <sz val="13"/>
      <name val="Cambria"/>
      <family val="1"/>
      <scheme val="major"/>
    </font>
    <font>
      <b/>
      <u/>
      <sz val="14"/>
      <name val="Cambria"/>
      <family val="1"/>
      <scheme val="major"/>
    </font>
    <font>
      <i/>
      <sz val="14"/>
      <color rgb="FFFF0000"/>
      <name val="Cambria"/>
      <family val="1"/>
      <scheme val="major"/>
    </font>
    <font>
      <sz val="22"/>
      <name val="Khmer OS Muol Light"/>
    </font>
    <font>
      <sz val="16"/>
      <name val="Khmer OS Muol Light"/>
    </font>
    <font>
      <sz val="8"/>
      <color indexed="8"/>
      <name val="Calibri"/>
      <family val="2"/>
      <charset val="128"/>
    </font>
    <font>
      <b/>
      <sz val="8"/>
      <color indexed="8"/>
      <name val="Khmer OS Muol"/>
    </font>
    <font>
      <sz val="8"/>
      <color indexed="8"/>
      <name val="Khmer OS Battambang"/>
    </font>
    <font>
      <sz val="9"/>
      <color indexed="8"/>
      <name val="Khmer OS Muol Light"/>
    </font>
    <font>
      <b/>
      <sz val="8"/>
      <color indexed="8"/>
      <name val="Khmer OS Battambang"/>
    </font>
    <font>
      <sz val="6"/>
      <color indexed="8"/>
      <name val="Khmer OS Battambang"/>
    </font>
    <font>
      <sz val="7"/>
      <color indexed="8"/>
      <name val="Khmer OS Battambang"/>
    </font>
    <font>
      <b/>
      <u val="double"/>
      <sz val="6"/>
      <color indexed="8"/>
      <name val="Khmer OS Battambang"/>
    </font>
    <font>
      <b/>
      <u val="double"/>
      <sz val="8"/>
      <color rgb="FFFF0000"/>
      <name val="Khmer OS Battambang"/>
    </font>
    <font>
      <sz val="8"/>
      <color indexed="8"/>
      <name val="Cambria"/>
      <family val="1"/>
      <scheme val="major"/>
    </font>
    <font>
      <b/>
      <sz val="8"/>
      <color indexed="8"/>
      <name val="Cambria"/>
      <family val="1"/>
      <scheme val="major"/>
    </font>
  </fonts>
  <fills count="16">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E1FF"/>
        <bgColor indexed="64"/>
      </patternFill>
    </fill>
    <fill>
      <patternFill patternType="solid">
        <fgColor rgb="FFCCF9F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EFFF"/>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rgb="FFFF0000"/>
        <bgColor indexed="64"/>
      </patternFill>
    </fill>
  </fills>
  <borders count="32">
    <border>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hair">
        <color indexed="64"/>
      </bottom>
      <diagonal/>
    </border>
    <border>
      <left style="thin">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0">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6"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7" fontId="6" fillId="0" borderId="0" applyFont="0" applyFill="0" applyBorder="0" applyAlignment="0" applyProtection="0">
      <alignment vertical="center"/>
    </xf>
    <xf numFmtId="164" fontId="6" fillId="0" borderId="0" applyFont="0" applyFill="0" applyBorder="0" applyAlignment="0" applyProtection="0"/>
    <xf numFmtId="38" fontId="22" fillId="0" borderId="0" applyFont="0" applyFill="0" applyBorder="0" applyAlignment="0" applyProtection="0">
      <alignment vertical="center"/>
    </xf>
    <xf numFmtId="0" fontId="25" fillId="0" borderId="0"/>
    <xf numFmtId="0" fontId="4" fillId="0" borderId="0"/>
    <xf numFmtId="164" fontId="4" fillId="0" borderId="0" applyFont="0" applyFill="0" applyBorder="0" applyAlignment="0" applyProtection="0"/>
    <xf numFmtId="0" fontId="31" fillId="0" borderId="0"/>
    <xf numFmtId="38" fontId="34" fillId="0" borderId="0" applyFont="0" applyFill="0" applyBorder="0" applyAlignment="0" applyProtection="0">
      <alignment vertical="center"/>
    </xf>
    <xf numFmtId="0" fontId="36" fillId="0" borderId="0"/>
    <xf numFmtId="0" fontId="39" fillId="0" borderId="0"/>
    <xf numFmtId="164" fontId="3" fillId="0" borderId="0" applyFont="0" applyFill="0" applyBorder="0" applyAlignment="0" applyProtection="0"/>
    <xf numFmtId="0" fontId="2" fillId="0" borderId="0"/>
    <xf numFmtId="38" fontId="64" fillId="0" borderId="0" applyFont="0" applyFill="0" applyBorder="0" applyAlignment="0" applyProtection="0">
      <alignment vertical="center"/>
    </xf>
    <xf numFmtId="0" fontId="1" fillId="0" borderId="0"/>
    <xf numFmtId="164" fontId="1" fillId="0" borderId="0" applyFont="0" applyFill="0" applyBorder="0" applyAlignment="0" applyProtection="0"/>
    <xf numFmtId="164" fontId="1" fillId="0" borderId="0" applyFont="0" applyFill="0" applyBorder="0" applyAlignment="0" applyProtection="0"/>
    <xf numFmtId="0" fontId="65" fillId="0" borderId="0">
      <alignment vertical="center"/>
    </xf>
  </cellStyleXfs>
  <cellXfs count="472">
    <xf numFmtId="0" fontId="0" fillId="0" borderId="0" xfId="0">
      <alignment vertical="center"/>
    </xf>
    <xf numFmtId="0" fontId="7" fillId="0" borderId="0" xfId="8" applyFont="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1" fillId="0" borderId="0" xfId="8" applyFont="1">
      <alignment vertical="center"/>
    </xf>
    <xf numFmtId="164" fontId="12" fillId="0" borderId="3" xfId="14" applyFont="1" applyFill="1" applyBorder="1" applyAlignment="1">
      <alignment horizontal="right" vertical="center"/>
    </xf>
    <xf numFmtId="164" fontId="8" fillId="4" borderId="4" xfId="14" applyFont="1" applyFill="1" applyBorder="1" applyAlignment="1">
      <alignment vertical="center"/>
    </xf>
    <xf numFmtId="164" fontId="8" fillId="4" borderId="4" xfId="14" applyFont="1" applyFill="1" applyBorder="1" applyAlignment="1">
      <alignment horizontal="right" vertical="center"/>
    </xf>
    <xf numFmtId="0" fontId="7" fillId="0" borderId="0" xfId="8" applyFont="1" applyAlignment="1">
      <alignment horizontal="center" vertical="center" wrapText="1"/>
    </xf>
    <xf numFmtId="0" fontId="10" fillId="0" borderId="0" xfId="8" applyFont="1" applyAlignment="1">
      <alignment horizontal="center" vertical="center" wrapText="1"/>
    </xf>
    <xf numFmtId="0" fontId="9" fillId="2" borderId="0" xfId="8" applyFont="1" applyFill="1" applyAlignment="1">
      <alignment horizontal="center" vertical="center" wrapText="1"/>
    </xf>
    <xf numFmtId="0" fontId="12" fillId="0" borderId="0" xfId="8" applyFont="1" applyAlignment="1">
      <alignment horizontal="center" vertical="center"/>
    </xf>
    <xf numFmtId="0" fontId="12" fillId="0" borderId="0" xfId="8" applyFont="1" applyAlignment="1">
      <alignment horizontal="left" vertical="center"/>
    </xf>
    <xf numFmtId="16" fontId="12" fillId="0" borderId="0" xfId="8" applyNumberFormat="1" applyFont="1" applyAlignment="1">
      <alignment horizontal="center" vertical="center"/>
    </xf>
    <xf numFmtId="8" fontId="14" fillId="3" borderId="4" xfId="3" applyNumberFormat="1" applyFont="1" applyFill="1" applyBorder="1" applyAlignment="1">
      <alignment vertical="center"/>
    </xf>
    <xf numFmtId="169" fontId="11" fillId="0" borderId="0" xfId="8" applyNumberFormat="1" applyFont="1">
      <alignment vertical="center"/>
    </xf>
    <xf numFmtId="164" fontId="12" fillId="0" borderId="3" xfId="14" applyFont="1" applyFill="1" applyBorder="1" applyAlignment="1">
      <alignment vertical="center"/>
    </xf>
    <xf numFmtId="0" fontId="16" fillId="0" borderId="0" xfId="8" applyFont="1">
      <alignment vertical="center"/>
    </xf>
    <xf numFmtId="0" fontId="12" fillId="0" borderId="0" xfId="8" applyFont="1">
      <alignment vertical="center"/>
    </xf>
    <xf numFmtId="164" fontId="12" fillId="0" borderId="0" xfId="14" applyFont="1" applyFill="1" applyBorder="1" applyAlignment="1">
      <alignment horizontal="center" vertical="center"/>
    </xf>
    <xf numFmtId="164" fontId="12" fillId="0" borderId="0" xfId="14" applyFont="1" applyAlignment="1">
      <alignment vertical="center"/>
    </xf>
    <xf numFmtId="164" fontId="12" fillId="0" borderId="0" xfId="14" applyFont="1" applyBorder="1" applyAlignment="1">
      <alignment vertical="center"/>
    </xf>
    <xf numFmtId="164" fontId="12" fillId="0" borderId="0" xfId="14" applyFont="1" applyBorder="1" applyAlignment="1">
      <alignment horizontal="center" vertical="center"/>
    </xf>
    <xf numFmtId="164" fontId="7" fillId="0" borderId="0" xfId="14" applyFont="1" applyAlignment="1">
      <alignment vertical="center"/>
    </xf>
    <xf numFmtId="0" fontId="9" fillId="4" borderId="6" xfId="8" applyFont="1" applyFill="1" applyBorder="1" applyAlignment="1">
      <alignment horizontal="center" vertical="center" wrapText="1"/>
    </xf>
    <xf numFmtId="164" fontId="9" fillId="4" borderId="6" xfId="14" applyFont="1" applyFill="1" applyBorder="1" applyAlignment="1">
      <alignment horizontal="center" vertical="center" wrapText="1"/>
    </xf>
    <xf numFmtId="0" fontId="9" fillId="6" borderId="4" xfId="8" applyFont="1" applyFill="1" applyBorder="1" applyAlignment="1">
      <alignment horizontal="center" vertical="center"/>
    </xf>
    <xf numFmtId="164" fontId="8" fillId="6" borderId="4" xfId="14" applyFont="1" applyFill="1" applyBorder="1" applyAlignment="1">
      <alignment vertical="center"/>
    </xf>
    <xf numFmtId="164" fontId="8" fillId="6" borderId="4" xfId="14" applyFont="1" applyFill="1" applyBorder="1" applyAlignment="1">
      <alignment horizontal="center" vertical="center"/>
    </xf>
    <xf numFmtId="0" fontId="7" fillId="5" borderId="0" xfId="8" applyFont="1" applyFill="1">
      <alignment vertical="center"/>
    </xf>
    <xf numFmtId="0" fontId="7" fillId="5" borderId="0" xfId="8" applyFont="1" applyFill="1" applyAlignment="1">
      <alignment horizontal="center" vertical="center"/>
    </xf>
    <xf numFmtId="16" fontId="10" fillId="5" borderId="0" xfId="8" applyNumberFormat="1" applyFont="1" applyFill="1" applyAlignment="1">
      <alignment horizontal="center" vertical="center"/>
    </xf>
    <xf numFmtId="0" fontId="10" fillId="5" borderId="0" xfId="8" applyFont="1" applyFill="1" applyAlignment="1">
      <alignment horizontal="center" vertical="center"/>
    </xf>
    <xf numFmtId="0" fontId="10" fillId="5" borderId="0" xfId="8" applyFont="1" applyFill="1" applyAlignment="1">
      <alignment horizontal="left" vertical="center"/>
    </xf>
    <xf numFmtId="164" fontId="10" fillId="5" borderId="0" xfId="14" applyFont="1" applyFill="1" applyBorder="1" applyAlignment="1">
      <alignment vertical="center"/>
    </xf>
    <xf numFmtId="164" fontId="10" fillId="5" borderId="0" xfId="14" applyFont="1" applyFill="1" applyBorder="1" applyAlignment="1">
      <alignment horizontal="center" vertical="center"/>
    </xf>
    <xf numFmtId="0" fontId="12" fillId="5" borderId="0" xfId="3" applyNumberFormat="1" applyFont="1" applyFill="1" applyBorder="1" applyAlignment="1">
      <alignment horizontal="left" vertical="center"/>
    </xf>
    <xf numFmtId="0" fontId="17" fillId="5" borderId="0" xfId="8" applyFont="1" applyFill="1">
      <alignment vertical="center"/>
    </xf>
    <xf numFmtId="0" fontId="16" fillId="5" borderId="0" xfId="8" applyFont="1" applyFill="1" applyAlignment="1">
      <alignment horizontal="center" vertical="center"/>
    </xf>
    <xf numFmtId="0" fontId="16" fillId="5" borderId="0" xfId="8" applyFont="1" applyFill="1">
      <alignment vertical="center"/>
    </xf>
    <xf numFmtId="0" fontId="16" fillId="5" borderId="5" xfId="8" applyFont="1" applyFill="1" applyBorder="1">
      <alignment vertical="center"/>
    </xf>
    <xf numFmtId="0" fontId="16" fillId="5" borderId="0" xfId="8" applyFont="1" applyFill="1" applyAlignment="1">
      <alignment horizontal="left" vertical="center"/>
    </xf>
    <xf numFmtId="0" fontId="12" fillId="5" borderId="0" xfId="8" applyFont="1" applyFill="1">
      <alignment vertical="center"/>
    </xf>
    <xf numFmtId="164" fontId="16" fillId="5" borderId="0" xfId="14" applyFont="1" applyFill="1" applyAlignment="1">
      <alignment vertical="center"/>
    </xf>
    <xf numFmtId="164" fontId="16" fillId="5" borderId="0" xfId="14" applyFont="1" applyFill="1" applyBorder="1" applyAlignment="1">
      <alignment vertical="center"/>
    </xf>
    <xf numFmtId="0" fontId="16" fillId="5" borderId="7" xfId="8" applyFont="1" applyFill="1" applyBorder="1">
      <alignment vertical="center"/>
    </xf>
    <xf numFmtId="164" fontId="8" fillId="5" borderId="0" xfId="14" applyFont="1" applyFill="1" applyBorder="1" applyAlignment="1">
      <alignment horizontal="center" vertical="center"/>
    </xf>
    <xf numFmtId="164" fontId="24" fillId="7" borderId="4" xfId="14" applyFont="1" applyFill="1" applyBorder="1" applyAlignment="1">
      <alignment vertical="center"/>
    </xf>
    <xf numFmtId="165" fontId="23" fillId="7" borderId="4" xfId="8" applyNumberFormat="1" applyFont="1" applyFill="1" applyBorder="1" applyAlignment="1">
      <alignment horizontal="center" vertical="center"/>
    </xf>
    <xf numFmtId="164" fontId="12" fillId="5" borderId="0" xfId="14" applyFont="1" applyFill="1" applyBorder="1" applyAlignment="1">
      <alignment vertical="center"/>
    </xf>
    <xf numFmtId="164" fontId="15" fillId="0" borderId="4" xfId="14" applyFont="1" applyFill="1" applyBorder="1" applyAlignment="1">
      <alignment vertical="center"/>
    </xf>
    <xf numFmtId="164" fontId="27" fillId="4" borderId="4" xfId="14" applyFont="1" applyFill="1" applyBorder="1" applyAlignment="1">
      <alignment vertical="center"/>
    </xf>
    <xf numFmtId="164" fontId="13" fillId="0" borderId="1" xfId="14" applyFont="1" applyFill="1" applyBorder="1" applyAlignment="1">
      <alignment horizontal="right" vertical="center"/>
    </xf>
    <xf numFmtId="172" fontId="9" fillId="6" borderId="4" xfId="8" applyNumberFormat="1" applyFont="1" applyFill="1" applyBorder="1" applyAlignment="1">
      <alignment horizontal="center" vertical="center"/>
    </xf>
    <xf numFmtId="164" fontId="26" fillId="0" borderId="3" xfId="14" applyFont="1" applyFill="1" applyBorder="1" applyAlignment="1">
      <alignment horizontal="right" vertical="center"/>
    </xf>
    <xf numFmtId="164" fontId="12" fillId="0" borderId="2" xfId="14" applyFont="1" applyFill="1" applyBorder="1" applyAlignment="1">
      <alignment horizontal="right" vertical="center"/>
    </xf>
    <xf numFmtId="164" fontId="12" fillId="5" borderId="0" xfId="8" applyNumberFormat="1" applyFont="1" applyFill="1">
      <alignment vertical="center"/>
    </xf>
    <xf numFmtId="164" fontId="15" fillId="6" borderId="4" xfId="14" applyFont="1" applyFill="1" applyBorder="1" applyAlignment="1">
      <alignment vertical="center"/>
    </xf>
    <xf numFmtId="164" fontId="28" fillId="5" borderId="0" xfId="14" applyFont="1" applyFill="1" applyAlignment="1">
      <alignment vertical="center"/>
    </xf>
    <xf numFmtId="0" fontId="9" fillId="6" borderId="4" xfId="9" applyFont="1" applyFill="1" applyBorder="1" applyAlignment="1">
      <alignment horizontal="right" vertical="center"/>
    </xf>
    <xf numFmtId="8" fontId="14" fillId="3" borderId="0" xfId="3" applyNumberFormat="1" applyFont="1" applyFill="1" applyBorder="1" applyAlignment="1">
      <alignment vertical="center"/>
    </xf>
    <xf numFmtId="165" fontId="23" fillId="7" borderId="4" xfId="15" applyNumberFormat="1" applyFont="1" applyFill="1" applyBorder="1" applyAlignment="1">
      <alignment vertical="center"/>
    </xf>
    <xf numFmtId="0" fontId="16" fillId="5" borderId="4" xfId="8" applyFont="1" applyFill="1" applyBorder="1">
      <alignment vertical="center"/>
    </xf>
    <xf numFmtId="165" fontId="17" fillId="7" borderId="4" xfId="15" applyNumberFormat="1" applyFont="1" applyFill="1" applyBorder="1" applyAlignment="1">
      <alignment vertical="center"/>
    </xf>
    <xf numFmtId="0" fontId="7" fillId="5" borderId="0" xfId="8" applyFont="1" applyFill="1" applyAlignment="1">
      <alignment horizontal="center" vertical="center" wrapText="1"/>
    </xf>
    <xf numFmtId="164" fontId="21" fillId="5" borderId="0" xfId="14" applyFont="1" applyFill="1" applyBorder="1" applyAlignment="1">
      <alignment horizontal="center" vertical="center"/>
    </xf>
    <xf numFmtId="0" fontId="16" fillId="5" borderId="0" xfId="8" applyFont="1" applyFill="1" applyAlignment="1">
      <alignment vertical="center" wrapText="1"/>
    </xf>
    <xf numFmtId="0" fontId="16" fillId="5" borderId="5" xfId="8" applyFont="1" applyFill="1" applyBorder="1" applyAlignment="1">
      <alignment vertical="center" wrapText="1"/>
    </xf>
    <xf numFmtId="0" fontId="12" fillId="0" borderId="0" xfId="8" applyFont="1" applyAlignment="1">
      <alignment horizontal="center" vertical="center" wrapText="1"/>
    </xf>
    <xf numFmtId="165" fontId="23" fillId="9" borderId="4" xfId="15" applyNumberFormat="1" applyFont="1" applyFill="1" applyBorder="1" applyAlignment="1">
      <alignment vertical="center"/>
    </xf>
    <xf numFmtId="165" fontId="23" fillId="9" borderId="4" xfId="8" applyNumberFormat="1" applyFont="1" applyFill="1" applyBorder="1" applyAlignment="1">
      <alignment horizontal="center" vertical="center"/>
    </xf>
    <xf numFmtId="0" fontId="8" fillId="5" borderId="5" xfId="8" applyFont="1" applyFill="1" applyBorder="1" applyAlignment="1">
      <alignment horizontal="left"/>
    </xf>
    <xf numFmtId="165" fontId="17" fillId="9" borderId="4" xfId="15" applyNumberFormat="1" applyFont="1" applyFill="1" applyBorder="1" applyAlignment="1">
      <alignment vertical="center"/>
    </xf>
    <xf numFmtId="164" fontId="24" fillId="9" borderId="4" xfId="14" applyFont="1" applyFill="1" applyBorder="1" applyAlignment="1">
      <alignment vertical="center"/>
    </xf>
    <xf numFmtId="164" fontId="21" fillId="6" borderId="4" xfId="14" applyFont="1" applyFill="1" applyBorder="1" applyAlignment="1">
      <alignment horizontal="right" vertical="center"/>
    </xf>
    <xf numFmtId="0" fontId="12" fillId="0" borderId="0" xfId="9" applyFont="1">
      <alignment vertical="center"/>
    </xf>
    <xf numFmtId="0" fontId="12" fillId="2" borderId="0" xfId="9" applyFont="1" applyFill="1">
      <alignment vertical="center"/>
    </xf>
    <xf numFmtId="170" fontId="12" fillId="0" borderId="3" xfId="8" applyNumberFormat="1" applyFont="1" applyBorder="1" applyAlignment="1">
      <alignment horizontal="center" vertical="center"/>
    </xf>
    <xf numFmtId="168" fontId="12" fillId="0" borderId="3" xfId="8" applyNumberFormat="1" applyFont="1" applyBorder="1" applyAlignment="1">
      <alignment horizontal="center" vertical="center" wrapText="1"/>
    </xf>
    <xf numFmtId="173" fontId="12" fillId="5" borderId="3" xfId="8" applyNumberFormat="1" applyFont="1" applyFill="1" applyBorder="1" applyAlignment="1">
      <alignment horizontal="center" vertical="center"/>
    </xf>
    <xf numFmtId="0" fontId="12" fillId="0" borderId="3" xfId="8" applyFont="1" applyBorder="1" applyAlignment="1">
      <alignment vertical="center" wrapText="1" shrinkToFit="1"/>
    </xf>
    <xf numFmtId="0" fontId="12" fillId="5" borderId="3" xfId="8" applyFont="1" applyFill="1" applyBorder="1" applyAlignment="1">
      <alignment horizontal="left" vertical="center" wrapText="1" shrinkToFit="1"/>
    </xf>
    <xf numFmtId="0" fontId="12" fillId="0" borderId="3" xfId="8" applyFont="1" applyBorder="1" applyAlignment="1">
      <alignment vertical="center" wrapText="1"/>
    </xf>
    <xf numFmtId="0" fontId="12" fillId="0" borderId="3" xfId="8" applyFont="1" applyBorder="1" applyAlignment="1">
      <alignment horizontal="left" vertical="center" wrapText="1" shrinkToFit="1"/>
    </xf>
    <xf numFmtId="0" fontId="12" fillId="0" borderId="3" xfId="8" applyFont="1" applyBorder="1" applyAlignment="1">
      <alignment horizontal="left" vertical="center" wrapText="1"/>
    </xf>
    <xf numFmtId="0" fontId="16" fillId="0" borderId="3" xfId="8" applyFont="1" applyBorder="1" applyAlignment="1">
      <alignment horizontal="center" vertical="center"/>
    </xf>
    <xf numFmtId="165" fontId="23" fillId="9" borderId="7" xfId="15" applyNumberFormat="1" applyFont="1" applyFill="1" applyBorder="1" applyAlignment="1">
      <alignment vertical="center"/>
    </xf>
    <xf numFmtId="165" fontId="17" fillId="9" borderId="7" xfId="15" applyNumberFormat="1" applyFont="1" applyFill="1" applyBorder="1" applyAlignment="1">
      <alignment vertical="center"/>
    </xf>
    <xf numFmtId="0" fontId="29" fillId="0" borderId="7" xfId="8" applyFont="1" applyBorder="1">
      <alignment vertical="center"/>
    </xf>
    <xf numFmtId="0" fontId="7" fillId="0" borderId="2" xfId="8" applyFont="1" applyBorder="1" applyAlignment="1">
      <alignment horizontal="left" vertical="center" wrapText="1"/>
    </xf>
    <xf numFmtId="170" fontId="12" fillId="0" borderId="2" xfId="8" applyNumberFormat="1" applyFont="1" applyBorder="1" applyAlignment="1">
      <alignment horizontal="center" vertical="center"/>
    </xf>
    <xf numFmtId="168" fontId="12" fillId="0" borderId="2" xfId="8" applyNumberFormat="1" applyFont="1" applyBorder="1" applyAlignment="1">
      <alignment horizontal="center" vertical="center" wrapText="1"/>
    </xf>
    <xf numFmtId="173" fontId="12" fillId="5" borderId="2" xfId="8" applyNumberFormat="1" applyFont="1" applyFill="1" applyBorder="1" applyAlignment="1">
      <alignment horizontal="center" vertical="center"/>
    </xf>
    <xf numFmtId="0" fontId="16" fillId="0" borderId="2" xfId="8" applyFont="1" applyBorder="1" applyAlignment="1">
      <alignment horizontal="center" vertical="center"/>
    </xf>
    <xf numFmtId="0" fontId="12" fillId="5" borderId="2" xfId="8" applyFont="1" applyFill="1" applyBorder="1" applyAlignment="1">
      <alignment horizontal="left" vertical="center" wrapText="1" shrinkToFit="1"/>
    </xf>
    <xf numFmtId="0" fontId="8" fillId="6" borderId="4" xfId="8" applyFont="1" applyFill="1" applyBorder="1" applyAlignment="1">
      <alignment horizontal="center" vertical="center" wrapText="1"/>
    </xf>
    <xf numFmtId="164" fontId="8" fillId="6" borderId="4" xfId="14" applyFont="1" applyFill="1" applyBorder="1" applyAlignment="1">
      <alignment horizontal="center" vertical="center" wrapText="1"/>
    </xf>
    <xf numFmtId="0" fontId="7" fillId="0" borderId="3" xfId="8" applyFont="1" applyBorder="1" applyAlignment="1">
      <alignment horizontal="left" vertical="center" wrapText="1" shrinkToFit="1"/>
    </xf>
    <xf numFmtId="164" fontId="12" fillId="0" borderId="1" xfId="14" applyFont="1" applyFill="1" applyBorder="1" applyAlignment="1">
      <alignment horizontal="right" vertical="center"/>
    </xf>
    <xf numFmtId="0" fontId="9" fillId="0" borderId="0" xfId="8" applyFont="1" applyAlignment="1">
      <alignment horizontal="center" vertical="center" wrapText="1"/>
    </xf>
    <xf numFmtId="8" fontId="10" fillId="0" borderId="0" xfId="8" applyNumberFormat="1" applyFont="1" applyAlignment="1">
      <alignment horizontal="center" vertical="center" wrapText="1"/>
    </xf>
    <xf numFmtId="172" fontId="9" fillId="6" borderId="4" xfId="8" applyNumberFormat="1" applyFont="1" applyFill="1" applyBorder="1" applyAlignment="1">
      <alignment horizontal="center" vertical="center" wrapText="1"/>
    </xf>
    <xf numFmtId="0" fontId="9" fillId="6" borderId="4" xfId="8" applyFont="1" applyFill="1" applyBorder="1" applyAlignment="1">
      <alignment horizontal="left" vertical="center"/>
    </xf>
    <xf numFmtId="0" fontId="9" fillId="6" borderId="4" xfId="9" applyFont="1" applyFill="1" applyBorder="1">
      <alignment vertical="center"/>
    </xf>
    <xf numFmtId="8" fontId="11" fillId="0" borderId="0" xfId="8" applyNumberFormat="1" applyFont="1">
      <alignment vertical="center"/>
    </xf>
    <xf numFmtId="0" fontId="11" fillId="2" borderId="0" xfId="8" applyFont="1" applyFill="1">
      <alignment vertical="center"/>
    </xf>
    <xf numFmtId="164" fontId="11" fillId="2" borderId="0" xfId="8" applyNumberFormat="1" applyFont="1" applyFill="1">
      <alignment vertical="center"/>
    </xf>
    <xf numFmtId="0" fontId="7" fillId="0" borderId="3" xfId="8" applyFont="1" applyBorder="1" applyAlignment="1">
      <alignment horizontal="center" vertical="center"/>
    </xf>
    <xf numFmtId="164" fontId="11" fillId="0" borderId="0" xfId="8" applyNumberFormat="1" applyFont="1">
      <alignment vertical="center"/>
    </xf>
    <xf numFmtId="0" fontId="18" fillId="6" borderId="4" xfId="8" applyFont="1" applyFill="1" applyBorder="1" applyAlignment="1">
      <alignment horizontal="center" vertical="center"/>
    </xf>
    <xf numFmtId="172" fontId="9" fillId="6" borderId="4" xfId="8" applyNumberFormat="1" applyFont="1" applyFill="1" applyBorder="1">
      <alignment vertical="center"/>
    </xf>
    <xf numFmtId="16" fontId="14" fillId="3" borderId="0" xfId="8" applyNumberFormat="1" applyFont="1" applyFill="1">
      <alignment vertical="center"/>
    </xf>
    <xf numFmtId="170" fontId="7" fillId="0" borderId="3" xfId="8" applyNumberFormat="1" applyFont="1" applyBorder="1" applyAlignment="1">
      <alignment horizontal="center" vertical="center"/>
    </xf>
    <xf numFmtId="0" fontId="7" fillId="0" borderId="3" xfId="8" applyFont="1" applyBorder="1" applyAlignment="1">
      <alignment horizontal="left" vertical="center" wrapText="1"/>
    </xf>
    <xf numFmtId="40" fontId="7" fillId="0" borderId="0" xfId="8" applyNumberFormat="1" applyFont="1">
      <alignment vertical="center"/>
    </xf>
    <xf numFmtId="0" fontId="14" fillId="3" borderId="4" xfId="8" applyFont="1" applyFill="1" applyBorder="1">
      <alignment vertical="center"/>
    </xf>
    <xf numFmtId="164" fontId="17" fillId="5" borderId="0" xfId="8" applyNumberFormat="1" applyFont="1" applyFill="1">
      <alignment vertical="center"/>
    </xf>
    <xf numFmtId="164" fontId="12" fillId="0" borderId="4" xfId="14" applyFont="1" applyFill="1" applyBorder="1" applyAlignment="1">
      <alignment vertical="center"/>
    </xf>
    <xf numFmtId="0" fontId="16" fillId="6" borderId="4" xfId="8" applyFont="1" applyFill="1" applyBorder="1">
      <alignment vertical="center"/>
    </xf>
    <xf numFmtId="0" fontId="30" fillId="5" borderId="3" xfId="8" applyFont="1" applyFill="1" applyBorder="1" applyAlignment="1">
      <alignment horizontal="left" vertical="center"/>
    </xf>
    <xf numFmtId="164" fontId="7" fillId="0" borderId="0" xfId="8" applyNumberFormat="1" applyFont="1">
      <alignment vertical="center"/>
    </xf>
    <xf numFmtId="164" fontId="11" fillId="0" borderId="0" xfId="14" applyFont="1" applyFill="1" applyAlignment="1">
      <alignment vertical="center"/>
    </xf>
    <xf numFmtId="164" fontId="16" fillId="0" borderId="0" xfId="14" applyFont="1" applyAlignment="1">
      <alignment vertical="center"/>
    </xf>
    <xf numFmtId="0" fontId="16" fillId="0" borderId="4" xfId="8" applyFont="1" applyBorder="1">
      <alignment vertical="center"/>
    </xf>
    <xf numFmtId="165" fontId="23" fillId="9" borderId="4" xfId="15" applyNumberFormat="1" applyFont="1" applyFill="1" applyBorder="1" applyAlignment="1">
      <alignment horizontal="center" vertical="center"/>
    </xf>
    <xf numFmtId="0" fontId="29" fillId="0" borderId="4" xfId="8" applyFont="1" applyBorder="1" applyAlignment="1">
      <alignment horizontal="center" vertical="center"/>
    </xf>
    <xf numFmtId="165" fontId="24" fillId="9" borderId="4" xfId="15" applyNumberFormat="1" applyFont="1" applyFill="1" applyBorder="1" applyAlignment="1">
      <alignment horizontal="center" vertical="center"/>
    </xf>
    <xf numFmtId="0" fontId="7" fillId="5" borderId="13" xfId="8" applyFont="1" applyFill="1" applyBorder="1" applyAlignment="1">
      <alignment horizontal="left" vertical="center" wrapText="1"/>
    </xf>
    <xf numFmtId="0" fontId="30" fillId="0" borderId="3" xfId="8" applyFont="1" applyBorder="1">
      <alignment vertical="center"/>
    </xf>
    <xf numFmtId="165" fontId="17" fillId="9" borderId="4" xfId="20" applyNumberFormat="1" applyFont="1" applyFill="1" applyBorder="1" applyAlignment="1">
      <alignment vertical="center"/>
    </xf>
    <xf numFmtId="165" fontId="17" fillId="9" borderId="4" xfId="15" applyNumberFormat="1" applyFont="1" applyFill="1" applyBorder="1" applyAlignment="1">
      <alignment horizontal="center" vertical="center"/>
    </xf>
    <xf numFmtId="175" fontId="7" fillId="9" borderId="1" xfId="8" applyNumberFormat="1" applyFont="1" applyFill="1" applyBorder="1" applyAlignment="1">
      <alignment horizontal="center" vertical="center"/>
    </xf>
    <xf numFmtId="0" fontId="15" fillId="6" borderId="4" xfId="8" applyFont="1" applyFill="1" applyBorder="1">
      <alignment vertical="center"/>
    </xf>
    <xf numFmtId="0" fontId="15" fillId="5" borderId="4" xfId="8" applyFont="1" applyFill="1" applyBorder="1">
      <alignment vertical="center"/>
    </xf>
    <xf numFmtId="170" fontId="7" fillId="0" borderId="1" xfId="8" applyNumberFormat="1" applyFont="1" applyBorder="1" applyAlignment="1">
      <alignment horizontal="center" vertical="center"/>
    </xf>
    <xf numFmtId="168" fontId="7" fillId="0" borderId="1" xfId="8" applyNumberFormat="1" applyFont="1" applyBorder="1" applyAlignment="1">
      <alignment horizontal="center" vertical="center"/>
    </xf>
    <xf numFmtId="0" fontId="7" fillId="0" borderId="1" xfId="8" applyFont="1" applyBorder="1" applyAlignment="1">
      <alignment horizontal="left" vertical="center" wrapText="1"/>
    </xf>
    <xf numFmtId="175" fontId="7" fillId="0" borderId="1" xfId="8" applyNumberFormat="1" applyFont="1" applyBorder="1" applyAlignment="1">
      <alignment horizontal="center" vertical="center"/>
    </xf>
    <xf numFmtId="164" fontId="16" fillId="0" borderId="0" xfId="8" applyNumberFormat="1" applyFont="1">
      <alignment vertical="center"/>
    </xf>
    <xf numFmtId="0" fontId="40" fillId="0" borderId="0" xfId="8" applyFont="1">
      <alignment vertical="center"/>
    </xf>
    <xf numFmtId="164" fontId="28" fillId="0" borderId="0" xfId="14" applyFont="1" applyAlignment="1">
      <alignment vertical="center"/>
    </xf>
    <xf numFmtId="164" fontId="37" fillId="6" borderId="4" xfId="14" applyFont="1" applyFill="1" applyBorder="1" applyAlignment="1">
      <alignment vertical="center"/>
    </xf>
    <xf numFmtId="0" fontId="40" fillId="12" borderId="4" xfId="8" applyFont="1" applyFill="1" applyBorder="1">
      <alignment vertical="center"/>
    </xf>
    <xf numFmtId="164" fontId="37" fillId="12" borderId="4" xfId="14" applyFont="1" applyFill="1" applyBorder="1" applyAlignment="1">
      <alignment vertical="center"/>
    </xf>
    <xf numFmtId="0" fontId="40" fillId="12" borderId="4" xfId="8" applyFont="1" applyFill="1" applyBorder="1" applyAlignment="1">
      <alignment horizontal="center" vertical="center"/>
    </xf>
    <xf numFmtId="0" fontId="40" fillId="10" borderId="4" xfId="8" applyFont="1" applyFill="1" applyBorder="1">
      <alignment vertical="center"/>
    </xf>
    <xf numFmtId="164" fontId="37" fillId="10" borderId="4" xfId="14" applyFont="1" applyFill="1" applyBorder="1" applyAlignment="1">
      <alignment vertical="center"/>
    </xf>
    <xf numFmtId="0" fontId="40" fillId="10" borderId="4" xfId="8" applyFont="1" applyFill="1" applyBorder="1" applyAlignment="1">
      <alignment horizontal="center" vertical="center"/>
    </xf>
    <xf numFmtId="164" fontId="8" fillId="0" borderId="0" xfId="14" applyFont="1" applyAlignment="1">
      <alignment vertical="center"/>
    </xf>
    <xf numFmtId="164" fontId="38" fillId="6" borderId="0" xfId="8" applyNumberFormat="1" applyFont="1" applyFill="1">
      <alignment vertical="center"/>
    </xf>
    <xf numFmtId="164" fontId="12" fillId="0" borderId="0" xfId="8" applyNumberFormat="1" applyFont="1">
      <alignment vertical="center"/>
    </xf>
    <xf numFmtId="164" fontId="12" fillId="0" borderId="0" xfId="14" applyFont="1" applyAlignment="1">
      <alignment horizontal="right" vertical="center"/>
    </xf>
    <xf numFmtId="168" fontId="7" fillId="0" borderId="3" xfId="8" applyNumberFormat="1" applyFont="1" applyBorder="1" applyAlignment="1">
      <alignment horizontal="center" vertical="center"/>
    </xf>
    <xf numFmtId="0" fontId="12" fillId="5" borderId="0" xfId="3" applyNumberFormat="1" applyFont="1" applyFill="1" applyBorder="1" applyAlignment="1">
      <alignment horizontal="left" vertical="top"/>
    </xf>
    <xf numFmtId="0" fontId="17" fillId="5" borderId="0" xfId="8" applyFont="1" applyFill="1" applyAlignment="1">
      <alignment vertical="top"/>
    </xf>
    <xf numFmtId="0" fontId="43" fillId="0" borderId="0" xfId="9" applyFont="1">
      <alignment vertical="center"/>
    </xf>
    <xf numFmtId="0" fontId="45" fillId="4" borderId="4" xfId="9" applyFont="1" applyFill="1" applyBorder="1" applyAlignment="1">
      <alignment horizontal="center" vertical="center" wrapText="1"/>
    </xf>
    <xf numFmtId="0" fontId="45" fillId="4" borderId="4" xfId="8" applyFont="1" applyFill="1" applyBorder="1" applyAlignment="1">
      <alignment horizontal="center" vertical="center" wrapText="1"/>
    </xf>
    <xf numFmtId="0" fontId="46" fillId="0" borderId="0" xfId="9" applyFont="1">
      <alignment vertical="center"/>
    </xf>
    <xf numFmtId="0" fontId="45" fillId="2" borderId="0" xfId="9" applyFont="1" applyFill="1">
      <alignment vertical="center"/>
    </xf>
    <xf numFmtId="0" fontId="45" fillId="6" borderId="15" xfId="9" applyFont="1" applyFill="1" applyBorder="1" applyAlignment="1">
      <alignment horizontal="center" vertical="center"/>
    </xf>
    <xf numFmtId="0" fontId="45" fillId="6" borderId="4" xfId="9" applyFont="1" applyFill="1" applyBorder="1" applyAlignment="1">
      <alignment horizontal="center" vertical="center"/>
    </xf>
    <xf numFmtId="0" fontId="47" fillId="6" borderId="4" xfId="9" applyFont="1" applyFill="1" applyBorder="1" applyAlignment="1">
      <alignment horizontal="center" vertical="center"/>
    </xf>
    <xf numFmtId="164" fontId="45" fillId="6" borderId="4" xfId="14" applyFont="1" applyFill="1" applyBorder="1" applyAlignment="1">
      <alignment horizontal="center" vertical="center"/>
    </xf>
    <xf numFmtId="0" fontId="45" fillId="6" borderId="4" xfId="9" applyFont="1" applyFill="1" applyBorder="1" applyAlignment="1">
      <alignment horizontal="right" vertical="center"/>
    </xf>
    <xf numFmtId="164" fontId="48" fillId="6" borderId="4" xfId="14" applyFont="1" applyFill="1" applyBorder="1" applyAlignment="1">
      <alignment vertical="center"/>
    </xf>
    <xf numFmtId="40" fontId="43" fillId="6" borderId="4" xfId="9" applyNumberFormat="1" applyFont="1" applyFill="1" applyBorder="1">
      <alignment vertical="center"/>
    </xf>
    <xf numFmtId="0" fontId="49" fillId="6" borderId="4" xfId="9" applyFont="1" applyFill="1" applyBorder="1">
      <alignment vertical="center"/>
    </xf>
    <xf numFmtId="0" fontId="49" fillId="0" borderId="0" xfId="9" applyFont="1">
      <alignment vertical="center"/>
    </xf>
    <xf numFmtId="0" fontId="49" fillId="2" borderId="0" xfId="9" applyFont="1" applyFill="1">
      <alignment vertical="center"/>
    </xf>
    <xf numFmtId="0" fontId="43" fillId="6" borderId="3" xfId="8" applyFont="1" applyFill="1" applyBorder="1" applyAlignment="1">
      <alignment horizontal="center" vertical="center"/>
    </xf>
    <xf numFmtId="170" fontId="43" fillId="5" borderId="3" xfId="8" applyNumberFormat="1" applyFont="1" applyFill="1" applyBorder="1" applyAlignment="1">
      <alignment horizontal="center" vertical="center"/>
    </xf>
    <xf numFmtId="168" fontId="43" fillId="5" borderId="3" xfId="8" applyNumberFormat="1" applyFont="1" applyFill="1" applyBorder="1" applyAlignment="1">
      <alignment horizontal="center" vertical="center"/>
    </xf>
    <xf numFmtId="0" fontId="50" fillId="0" borderId="14" xfId="0" applyFont="1" applyBorder="1" applyAlignment="1">
      <alignment horizontal="left" vertical="center"/>
    </xf>
    <xf numFmtId="0" fontId="51" fillId="0" borderId="3" xfId="8" applyFont="1" applyBorder="1">
      <alignment vertical="center"/>
    </xf>
    <xf numFmtId="0" fontId="43" fillId="0" borderId="3" xfId="8" applyFont="1" applyBorder="1" applyAlignment="1">
      <alignment horizontal="left" vertical="center" wrapText="1" shrinkToFit="1"/>
    </xf>
    <xf numFmtId="164" fontId="43" fillId="9" borderId="3" xfId="14" applyFont="1" applyFill="1" applyBorder="1" applyAlignment="1">
      <alignment horizontal="right" vertical="center"/>
    </xf>
    <xf numFmtId="164" fontId="52" fillId="5" borderId="3" xfId="14" applyFont="1" applyFill="1" applyBorder="1" applyAlignment="1">
      <alignment horizontal="right" vertical="center"/>
    </xf>
    <xf numFmtId="164" fontId="43" fillId="0" borderId="3" xfId="14" applyFont="1" applyFill="1" applyBorder="1" applyAlignment="1">
      <alignment horizontal="center" vertical="center"/>
    </xf>
    <xf numFmtId="176" fontId="43" fillId="0" borderId="3" xfId="22" applyNumberFormat="1" applyFont="1" applyBorder="1" applyAlignment="1">
      <alignment horizontal="center" vertical="center"/>
    </xf>
    <xf numFmtId="0" fontId="43" fillId="0" borderId="12" xfId="9" applyFont="1" applyBorder="1">
      <alignment vertical="center"/>
    </xf>
    <xf numFmtId="1" fontId="43" fillId="5" borderId="3" xfId="8" applyNumberFormat="1" applyFont="1" applyFill="1" applyBorder="1" applyAlignment="1">
      <alignment horizontal="center" vertical="center"/>
    </xf>
    <xf numFmtId="0" fontId="43" fillId="0" borderId="3" xfId="8" applyFont="1" applyBorder="1" applyAlignment="1">
      <alignment horizontal="left" vertical="center" wrapText="1"/>
    </xf>
    <xf numFmtId="164" fontId="43" fillId="5" borderId="3" xfId="14" applyFont="1" applyFill="1" applyBorder="1" applyAlignment="1">
      <alignment horizontal="right" vertical="center"/>
    </xf>
    <xf numFmtId="164" fontId="52" fillId="0" borderId="3" xfId="14" applyFont="1" applyFill="1" applyBorder="1" applyAlignment="1">
      <alignment horizontal="right" vertical="center"/>
    </xf>
    <xf numFmtId="0" fontId="43" fillId="5" borderId="13" xfId="8" applyFont="1" applyFill="1" applyBorder="1" applyAlignment="1">
      <alignment horizontal="left" vertical="center" wrapText="1"/>
    </xf>
    <xf numFmtId="0" fontId="51" fillId="5" borderId="3" xfId="8" applyFont="1" applyFill="1" applyBorder="1">
      <alignment vertical="center"/>
    </xf>
    <xf numFmtId="164" fontId="52" fillId="10" borderId="3" xfId="14" applyFont="1" applyFill="1" applyBorder="1" applyAlignment="1">
      <alignment horizontal="right" vertical="center"/>
    </xf>
    <xf numFmtId="164" fontId="48" fillId="4" borderId="4" xfId="14" applyFont="1" applyFill="1" applyBorder="1" applyAlignment="1">
      <alignment horizontal="right" vertical="center"/>
    </xf>
    <xf numFmtId="164" fontId="53" fillId="4" borderId="4" xfId="14" applyFont="1" applyFill="1" applyBorder="1" applyAlignment="1">
      <alignment vertical="center"/>
    </xf>
    <xf numFmtId="177" fontId="48" fillId="4" borderId="4" xfId="22" applyNumberFormat="1" applyFont="1" applyFill="1" applyBorder="1" applyAlignment="1">
      <alignment horizontal="center" vertical="center"/>
    </xf>
    <xf numFmtId="0" fontId="54" fillId="4" borderId="4" xfId="9" applyFont="1" applyFill="1" applyBorder="1">
      <alignment vertical="center"/>
    </xf>
    <xf numFmtId="0" fontId="54" fillId="0" borderId="0" xfId="9" applyFont="1">
      <alignment vertical="center"/>
    </xf>
    <xf numFmtId="16" fontId="46" fillId="5" borderId="0" xfId="9" applyNumberFormat="1" applyFont="1" applyFill="1" applyAlignment="1">
      <alignment horizontal="center" vertical="center"/>
    </xf>
    <xf numFmtId="0" fontId="55" fillId="5" borderId="0" xfId="9" applyFont="1" applyFill="1">
      <alignment vertical="center"/>
    </xf>
    <xf numFmtId="164" fontId="46" fillId="5" borderId="0" xfId="14" applyFont="1" applyFill="1" applyBorder="1" applyAlignment="1">
      <alignment vertical="center"/>
    </xf>
    <xf numFmtId="164" fontId="46" fillId="5" borderId="0" xfId="14" applyFont="1" applyFill="1" applyBorder="1" applyAlignment="1">
      <alignment horizontal="center" vertical="center"/>
    </xf>
    <xf numFmtId="0" fontId="55" fillId="0" borderId="0" xfId="9" applyFont="1">
      <alignment vertical="center"/>
    </xf>
    <xf numFmtId="0" fontId="56" fillId="5" borderId="0" xfId="8" applyFont="1" applyFill="1">
      <alignment vertical="center"/>
    </xf>
    <xf numFmtId="164" fontId="55" fillId="5" borderId="0" xfId="9" applyNumberFormat="1" applyFont="1" applyFill="1">
      <alignment vertical="center"/>
    </xf>
    <xf numFmtId="0" fontId="54" fillId="5" borderId="0" xfId="8" applyFont="1" applyFill="1" applyAlignment="1">
      <alignment horizontal="center" vertical="center"/>
    </xf>
    <xf numFmtId="0" fontId="58" fillId="5" borderId="0" xfId="3" applyNumberFormat="1" applyFont="1" applyFill="1" applyBorder="1" applyAlignment="1">
      <alignment horizontal="left" vertical="center"/>
    </xf>
    <xf numFmtId="0" fontId="54" fillId="5" borderId="0" xfId="8" applyFont="1" applyFill="1">
      <alignment vertical="center"/>
    </xf>
    <xf numFmtId="164" fontId="59" fillId="9" borderId="4" xfId="14" applyFont="1" applyFill="1" applyBorder="1" applyAlignment="1">
      <alignment vertical="center"/>
    </xf>
    <xf numFmtId="0" fontId="48" fillId="5" borderId="5" xfId="8" applyFont="1" applyFill="1" applyBorder="1" applyAlignment="1">
      <alignment horizontal="left"/>
    </xf>
    <xf numFmtId="0" fontId="54" fillId="5" borderId="5" xfId="8" applyFont="1" applyFill="1" applyBorder="1">
      <alignment vertical="center"/>
    </xf>
    <xf numFmtId="0" fontId="54" fillId="5" borderId="5" xfId="8" applyFont="1" applyFill="1" applyBorder="1" applyAlignment="1">
      <alignment horizontal="left" vertical="center"/>
    </xf>
    <xf numFmtId="0" fontId="54" fillId="5" borderId="0" xfId="8" applyFont="1" applyFill="1" applyAlignment="1">
      <alignment horizontal="left" vertical="center"/>
    </xf>
    <xf numFmtId="177" fontId="55" fillId="5" borderId="0" xfId="9" applyNumberFormat="1" applyFont="1" applyFill="1">
      <alignment vertical="center"/>
    </xf>
    <xf numFmtId="0" fontId="58" fillId="5" borderId="0" xfId="8" applyFont="1" applyFill="1" applyAlignment="1">
      <alignment horizontal="center" vertical="center"/>
    </xf>
    <xf numFmtId="0" fontId="48" fillId="5" borderId="0" xfId="8" applyFont="1" applyFill="1" applyAlignment="1">
      <alignment horizontal="left" vertical="center"/>
    </xf>
    <xf numFmtId="0" fontId="43" fillId="5" borderId="0" xfId="9" applyFont="1" applyFill="1">
      <alignment vertical="center"/>
    </xf>
    <xf numFmtId="0" fontId="43" fillId="5" borderId="0" xfId="9" applyFont="1" applyFill="1" applyAlignment="1">
      <alignment horizontal="center" vertical="center"/>
    </xf>
    <xf numFmtId="165" fontId="60" fillId="7" borderId="4" xfId="20" applyNumberFormat="1" applyFont="1" applyFill="1" applyBorder="1" applyAlignment="1">
      <alignment vertical="center"/>
    </xf>
    <xf numFmtId="165" fontId="60" fillId="7" borderId="4" xfId="8" applyNumberFormat="1" applyFont="1" applyFill="1" applyBorder="1" applyAlignment="1">
      <alignment horizontal="center" vertical="center"/>
    </xf>
    <xf numFmtId="165" fontId="60" fillId="7" borderId="4" xfId="8" applyNumberFormat="1" applyFont="1" applyFill="1" applyBorder="1" applyAlignment="1">
      <alignment horizontal="center" vertical="center" wrapText="1"/>
    </xf>
    <xf numFmtId="0" fontId="54" fillId="6" borderId="4" xfId="8" applyFont="1" applyFill="1" applyBorder="1">
      <alignment vertical="center"/>
    </xf>
    <xf numFmtId="164" fontId="55" fillId="6" borderId="4" xfId="14" applyFont="1" applyFill="1" applyBorder="1" applyAlignment="1">
      <alignment vertical="center"/>
    </xf>
    <xf numFmtId="164" fontId="43" fillId="6" borderId="4" xfId="14" applyFont="1" applyFill="1" applyBorder="1" applyAlignment="1">
      <alignment vertical="center"/>
    </xf>
    <xf numFmtId="0" fontId="54" fillId="5" borderId="4" xfId="8" applyFont="1" applyFill="1" applyBorder="1">
      <alignment vertical="center"/>
    </xf>
    <xf numFmtId="164" fontId="55" fillId="11" borderId="4" xfId="14" applyFont="1" applyFill="1" applyBorder="1" applyAlignment="1">
      <alignment vertical="center"/>
    </xf>
    <xf numFmtId="164" fontId="55" fillId="0" borderId="4" xfId="14" applyFont="1" applyFill="1" applyBorder="1" applyAlignment="1">
      <alignment vertical="center"/>
    </xf>
    <xf numFmtId="164" fontId="43" fillId="0" borderId="4" xfId="9" applyNumberFormat="1" applyFont="1" applyBorder="1">
      <alignment vertical="center"/>
    </xf>
    <xf numFmtId="0" fontId="54" fillId="0" borderId="4" xfId="8" applyFont="1" applyBorder="1">
      <alignment vertical="center"/>
    </xf>
    <xf numFmtId="165" fontId="56" fillId="7" borderId="4" xfId="20" applyNumberFormat="1" applyFont="1" applyFill="1" applyBorder="1" applyAlignment="1">
      <alignment vertical="center"/>
    </xf>
    <xf numFmtId="164" fontId="61" fillId="7" borderId="4" xfId="14" applyFont="1" applyFill="1" applyBorder="1" applyAlignment="1">
      <alignment vertical="center"/>
    </xf>
    <xf numFmtId="164" fontId="62" fillId="5" borderId="0" xfId="9" applyNumberFormat="1" applyFont="1" applyFill="1">
      <alignment vertical="center"/>
    </xf>
    <xf numFmtId="0" fontId="43" fillId="5" borderId="0" xfId="8" applyFont="1" applyFill="1">
      <alignment vertical="center"/>
    </xf>
    <xf numFmtId="164" fontId="63" fillId="5" borderId="0" xfId="14" applyFont="1" applyFill="1" applyAlignment="1">
      <alignment vertical="center"/>
    </xf>
    <xf numFmtId="0" fontId="43" fillId="0" borderId="0" xfId="9" applyFont="1" applyAlignment="1">
      <alignment horizontal="center" vertical="center"/>
    </xf>
    <xf numFmtId="164" fontId="45" fillId="0" borderId="0" xfId="14" applyFont="1" applyAlignment="1">
      <alignment vertical="center"/>
    </xf>
    <xf numFmtId="164" fontId="43" fillId="0" borderId="0" xfId="14" applyFont="1" applyAlignment="1">
      <alignment vertical="center"/>
    </xf>
    <xf numFmtId="164" fontId="43" fillId="0" borderId="0" xfId="14" applyFont="1" applyAlignment="1">
      <alignment horizontal="center" vertical="center"/>
    </xf>
    <xf numFmtId="10" fontId="43" fillId="0" borderId="0" xfId="9" applyNumberFormat="1" applyFont="1" applyAlignment="1">
      <alignment horizontal="right" vertical="center"/>
    </xf>
    <xf numFmtId="164" fontId="43" fillId="0" borderId="0" xfId="9" applyNumberFormat="1" applyFont="1" applyAlignment="1">
      <alignment horizontal="center" vertical="center"/>
    </xf>
    <xf numFmtId="0" fontId="43" fillId="0" borderId="1" xfId="8" applyFont="1" applyBorder="1" applyAlignment="1">
      <alignment horizontal="left" vertical="center" wrapText="1"/>
    </xf>
    <xf numFmtId="164" fontId="48" fillId="12" borderId="4" xfId="14" applyFont="1" applyFill="1" applyBorder="1" applyAlignment="1">
      <alignment vertical="center"/>
    </xf>
    <xf numFmtId="0" fontId="51" fillId="12" borderId="4" xfId="9" applyFont="1" applyFill="1" applyBorder="1" applyAlignment="1">
      <alignment horizontal="center" vertical="center"/>
    </xf>
    <xf numFmtId="175" fontId="12" fillId="0" borderId="4" xfId="8" applyNumberFormat="1" applyFont="1" applyBorder="1" applyAlignment="1">
      <alignment horizontal="left" vertical="center"/>
    </xf>
    <xf numFmtId="0" fontId="57" fillId="9" borderId="4" xfId="9" applyFont="1" applyFill="1" applyBorder="1" applyAlignment="1">
      <alignment horizontal="center" vertical="center"/>
    </xf>
    <xf numFmtId="164" fontId="43" fillId="0" borderId="3" xfId="14" applyFont="1" applyFill="1" applyBorder="1" applyAlignment="1">
      <alignment horizontal="right" vertical="center"/>
    </xf>
    <xf numFmtId="0" fontId="43" fillId="0" borderId="2" xfId="9" applyFont="1" applyBorder="1">
      <alignment vertical="center"/>
    </xf>
    <xf numFmtId="164" fontId="43" fillId="0" borderId="2" xfId="9" applyNumberFormat="1" applyFont="1" applyBorder="1">
      <alignment vertical="center"/>
    </xf>
    <xf numFmtId="174" fontId="7" fillId="10" borderId="3" xfId="8" applyNumberFormat="1" applyFont="1" applyFill="1" applyBorder="1" applyAlignment="1">
      <alignment horizontal="center" vertical="center"/>
    </xf>
    <xf numFmtId="0" fontId="43" fillId="13" borderId="3" xfId="8" applyFont="1" applyFill="1" applyBorder="1" applyAlignment="1">
      <alignment horizontal="left" vertical="center" wrapText="1"/>
    </xf>
    <xf numFmtId="0" fontId="7" fillId="0" borderId="9" xfId="8" applyFont="1" applyBorder="1" applyAlignment="1">
      <alignment horizontal="left" vertical="center" wrapText="1"/>
    </xf>
    <xf numFmtId="0" fontId="7" fillId="0" borderId="9" xfId="8" applyFont="1" applyBorder="1" applyAlignment="1">
      <alignment horizontal="center" vertical="center"/>
    </xf>
    <xf numFmtId="0" fontId="7" fillId="5" borderId="0" xfId="8" applyFont="1" applyFill="1" applyAlignment="1">
      <alignment horizontal="left" vertical="center" wrapText="1"/>
    </xf>
    <xf numFmtId="164" fontId="12" fillId="0" borderId="9" xfId="14" applyFont="1" applyFill="1" applyBorder="1" applyAlignment="1">
      <alignment horizontal="right" vertical="center"/>
    </xf>
    <xf numFmtId="164" fontId="13" fillId="0" borderId="9" xfId="14" applyFont="1" applyFill="1" applyBorder="1" applyAlignment="1">
      <alignment horizontal="right" vertical="center"/>
    </xf>
    <xf numFmtId="175" fontId="7" fillId="0" borderId="6" xfId="8" applyNumberFormat="1" applyFont="1" applyBorder="1" applyAlignment="1">
      <alignment horizontal="center" vertical="center"/>
    </xf>
    <xf numFmtId="168" fontId="7" fillId="0" borderId="6" xfId="8" applyNumberFormat="1" applyFont="1" applyBorder="1" applyAlignment="1">
      <alignment horizontal="center" vertical="center"/>
    </xf>
    <xf numFmtId="170" fontId="7" fillId="0" borderId="6" xfId="8" applyNumberFormat="1" applyFont="1" applyBorder="1" applyAlignment="1">
      <alignment horizontal="center" vertical="center"/>
    </xf>
    <xf numFmtId="0" fontId="19" fillId="5" borderId="0" xfId="8" applyFont="1" applyFill="1" applyAlignment="1">
      <alignment horizontal="center" vertical="center"/>
    </xf>
    <xf numFmtId="0" fontId="7" fillId="5" borderId="0" xfId="8" applyFont="1" applyFill="1" applyAlignment="1"/>
    <xf numFmtId="0" fontId="7" fillId="0" borderId="0" xfId="8" applyFont="1" applyAlignment="1"/>
    <xf numFmtId="164" fontId="12" fillId="0" borderId="0" xfId="14" applyFont="1" applyFill="1" applyBorder="1" applyAlignment="1">
      <alignment horizontal="right" vertical="center"/>
    </xf>
    <xf numFmtId="164" fontId="12" fillId="0" borderId="0" xfId="14" applyFont="1" applyFill="1" applyBorder="1" applyAlignment="1">
      <alignment vertical="center"/>
    </xf>
    <xf numFmtId="164" fontId="8" fillId="0" borderId="0" xfId="14" applyFont="1" applyFill="1" applyBorder="1" applyAlignment="1">
      <alignment horizontal="center" vertical="center"/>
    </xf>
    <xf numFmtId="178" fontId="70" fillId="0" borderId="0" xfId="29" applyNumberFormat="1" applyFont="1" applyProtection="1">
      <alignment vertical="center"/>
      <protection locked="0"/>
    </xf>
    <xf numFmtId="0" fontId="68" fillId="0" borderId="0" xfId="29" applyFont="1" applyAlignment="1" applyProtection="1">
      <alignment horizontal="left" vertical="top" wrapText="1"/>
      <protection locked="0"/>
    </xf>
    <xf numFmtId="0" fontId="68" fillId="0" borderId="0" xfId="29" applyFont="1" applyAlignment="1" applyProtection="1">
      <alignment vertical="top" wrapText="1"/>
      <protection locked="0"/>
    </xf>
    <xf numFmtId="0" fontId="68" fillId="10" borderId="0" xfId="29" applyFont="1" applyFill="1" applyAlignment="1" applyProtection="1">
      <alignment horizontal="left" vertical="top" wrapText="1"/>
      <protection locked="0"/>
    </xf>
    <xf numFmtId="0" fontId="70" fillId="0" borderId="0" xfId="29" applyFont="1" applyAlignment="1" applyProtection="1">
      <alignment horizontal="right" vertical="top"/>
      <protection locked="0"/>
    </xf>
    <xf numFmtId="0" fontId="70" fillId="0" borderId="0" xfId="29" applyFont="1" applyAlignment="1" applyProtection="1">
      <alignment horizontal="right" vertical="top" wrapText="1"/>
      <protection locked="0"/>
    </xf>
    <xf numFmtId="0" fontId="70" fillId="10" borderId="0" xfId="29" applyFont="1" applyFill="1" applyAlignment="1" applyProtection="1">
      <alignment horizontal="center" vertical="center"/>
      <protection locked="0"/>
    </xf>
    <xf numFmtId="178" fontId="70" fillId="10" borderId="0" xfId="29" applyNumberFormat="1" applyFont="1" applyFill="1" applyAlignment="1" applyProtection="1">
      <alignment horizontal="center" vertical="center"/>
      <protection locked="0"/>
    </xf>
    <xf numFmtId="164" fontId="21" fillId="0" borderId="0" xfId="14" applyFont="1" applyFill="1" applyBorder="1" applyAlignment="1">
      <alignment horizontal="center" vertical="center"/>
    </xf>
    <xf numFmtId="0" fontId="7" fillId="14" borderId="0" xfId="8" applyFont="1" applyFill="1" applyAlignment="1"/>
    <xf numFmtId="0" fontId="7" fillId="14" borderId="0" xfId="8" applyFont="1" applyFill="1">
      <alignment vertical="center"/>
    </xf>
    <xf numFmtId="0" fontId="10" fillId="14" borderId="0" xfId="8" applyFont="1" applyFill="1" applyAlignment="1">
      <alignment horizontal="center" vertical="center" wrapText="1"/>
    </xf>
    <xf numFmtId="0" fontId="11" fillId="14" borderId="0" xfId="8" applyFont="1" applyFill="1">
      <alignment vertical="center"/>
    </xf>
    <xf numFmtId="169" fontId="11" fillId="14" borderId="0" xfId="8" applyNumberFormat="1" applyFont="1" applyFill="1">
      <alignment vertical="center"/>
    </xf>
    <xf numFmtId="0" fontId="16" fillId="14" borderId="0" xfId="8" applyFont="1" applyFill="1">
      <alignment vertical="center"/>
    </xf>
    <xf numFmtId="0" fontId="12" fillId="14" borderId="0" xfId="8" applyFont="1" applyFill="1">
      <alignment vertical="center"/>
    </xf>
    <xf numFmtId="164" fontId="16" fillId="0" borderId="0" xfId="14" applyFont="1" applyFill="1" applyAlignment="1">
      <alignment vertical="center"/>
    </xf>
    <xf numFmtId="0" fontId="40" fillId="0" borderId="4" xfId="8" applyFont="1" applyBorder="1">
      <alignment vertical="center"/>
    </xf>
    <xf numFmtId="165" fontId="23" fillId="7" borderId="4" xfId="15" applyNumberFormat="1" applyFont="1" applyFill="1" applyBorder="1" applyAlignment="1">
      <alignment horizontal="center" vertical="center"/>
    </xf>
    <xf numFmtId="0" fontId="12" fillId="0" borderId="4" xfId="8" applyFont="1" applyBorder="1">
      <alignment vertical="center"/>
    </xf>
    <xf numFmtId="0" fontId="72" fillId="0" borderId="4" xfId="8" applyFont="1" applyBorder="1">
      <alignment vertical="center"/>
    </xf>
    <xf numFmtId="0" fontId="14" fillId="3" borderId="0" xfId="8" applyFont="1" applyFill="1">
      <alignment vertical="center"/>
    </xf>
    <xf numFmtId="164" fontId="15" fillId="0" borderId="0" xfId="14" applyFont="1" applyFill="1" applyBorder="1" applyAlignment="1">
      <alignment vertical="center"/>
    </xf>
    <xf numFmtId="0" fontId="23" fillId="0" borderId="0" xfId="8" applyFont="1" applyAlignment="1">
      <alignment horizontal="center" vertical="center"/>
    </xf>
    <xf numFmtId="165" fontId="23" fillId="0" borderId="0" xfId="15" applyNumberFormat="1" applyFont="1" applyFill="1" applyBorder="1" applyAlignment="1">
      <alignment vertical="center"/>
    </xf>
    <xf numFmtId="165" fontId="23" fillId="0" borderId="0" xfId="8" applyNumberFormat="1" applyFont="1" applyAlignment="1">
      <alignment horizontal="center" vertical="center"/>
    </xf>
    <xf numFmtId="165" fontId="17" fillId="0" borderId="0" xfId="15" applyNumberFormat="1" applyFont="1" applyFill="1" applyBorder="1" applyAlignment="1">
      <alignment vertical="center"/>
    </xf>
    <xf numFmtId="164" fontId="24" fillId="0" borderId="0" xfId="14" applyFont="1" applyFill="1" applyBorder="1" applyAlignment="1">
      <alignment vertical="center"/>
    </xf>
    <xf numFmtId="164" fontId="28" fillId="0" borderId="0" xfId="14" applyFont="1" applyFill="1" applyBorder="1" applyAlignment="1">
      <alignment vertical="center"/>
    </xf>
    <xf numFmtId="0" fontId="12" fillId="0" borderId="0" xfId="3" applyNumberFormat="1" applyFont="1" applyFill="1" applyBorder="1" applyAlignment="1">
      <alignment horizontal="left" vertical="center"/>
    </xf>
    <xf numFmtId="16" fontId="8" fillId="0" borderId="0" xfId="8" applyNumberFormat="1" applyFont="1">
      <alignment vertical="center"/>
    </xf>
    <xf numFmtId="164" fontId="8" fillId="0" borderId="0" xfId="14" applyFont="1" applyFill="1" applyBorder="1" applyAlignment="1">
      <alignment horizontal="right" vertical="center"/>
    </xf>
    <xf numFmtId="0" fontId="8" fillId="5" borderId="0" xfId="8" applyFont="1" applyFill="1" applyAlignment="1">
      <alignment horizontal="left"/>
    </xf>
    <xf numFmtId="164" fontId="12" fillId="0" borderId="4" xfId="14" applyFont="1" applyBorder="1" applyAlignment="1">
      <alignment vertical="center"/>
    </xf>
    <xf numFmtId="0" fontId="8" fillId="5" borderId="0" xfId="8" applyFont="1" applyFill="1" applyAlignment="1">
      <alignment horizontal="left" vertical="center"/>
    </xf>
    <xf numFmtId="0" fontId="8" fillId="5" borderId="0" xfId="8" applyFont="1" applyFill="1" applyAlignment="1">
      <alignment horizontal="center" vertical="center"/>
    </xf>
    <xf numFmtId="168" fontId="68" fillId="0" borderId="2" xfId="8" applyNumberFormat="1" applyFont="1" applyBorder="1" applyAlignment="1">
      <alignment horizontal="left" vertical="center"/>
    </xf>
    <xf numFmtId="14" fontId="68" fillId="0" borderId="2" xfId="8" applyNumberFormat="1" applyFont="1" applyBorder="1" applyAlignment="1">
      <alignment horizontal="center" vertical="center"/>
    </xf>
    <xf numFmtId="0" fontId="68" fillId="0" borderId="16" xfId="8" applyFont="1" applyBorder="1" applyAlignment="1">
      <alignment horizontal="center" vertical="center" wrapText="1" shrinkToFit="1"/>
    </xf>
    <xf numFmtId="0" fontId="68" fillId="0" borderId="3" xfId="8" applyFont="1" applyBorder="1" applyAlignment="1">
      <alignment horizontal="center" vertical="center"/>
    </xf>
    <xf numFmtId="164" fontId="76" fillId="0" borderId="3" xfId="14" applyFont="1" applyBorder="1" applyAlignment="1">
      <alignment vertical="center"/>
    </xf>
    <xf numFmtId="0" fontId="70" fillId="0" borderId="0" xfId="29" applyFont="1" applyAlignment="1" applyProtection="1">
      <alignment horizontal="center" vertical="center"/>
      <protection locked="0"/>
    </xf>
    <xf numFmtId="0" fontId="70" fillId="0" borderId="0" xfId="29" applyFont="1" applyAlignment="1" applyProtection="1">
      <alignment vertical="top"/>
      <protection locked="0"/>
    </xf>
    <xf numFmtId="0" fontId="70" fillId="0" borderId="0" xfId="29" applyFont="1" applyProtection="1">
      <alignment vertical="center"/>
      <protection locked="0"/>
    </xf>
    <xf numFmtId="178" fontId="70" fillId="0" borderId="0" xfId="29" applyNumberFormat="1" applyFont="1" applyAlignment="1" applyProtection="1">
      <alignment horizontal="center" vertical="center"/>
      <protection locked="0"/>
    </xf>
    <xf numFmtId="0" fontId="74" fillId="10" borderId="0" xfId="29" applyFont="1" applyFill="1" applyAlignment="1" applyProtection="1">
      <alignment vertical="top" wrapText="1"/>
      <protection locked="0"/>
    </xf>
    <xf numFmtId="0" fontId="77" fillId="0" borderId="0" xfId="8" applyFont="1" applyAlignment="1">
      <alignment horizontal="left" vertical="center"/>
    </xf>
    <xf numFmtId="0" fontId="78" fillId="0" borderId="0" xfId="8" applyFont="1" applyAlignment="1">
      <alignment horizontal="left" vertical="center"/>
    </xf>
    <xf numFmtId="0" fontId="21" fillId="5" borderId="0" xfId="8" applyFont="1" applyFill="1" applyAlignment="1">
      <alignment horizontal="left"/>
    </xf>
    <xf numFmtId="0" fontId="21" fillId="5" borderId="5" xfId="8" applyFont="1" applyFill="1" applyBorder="1" applyAlignment="1">
      <alignment horizontal="center" vertical="center"/>
    </xf>
    <xf numFmtId="0" fontId="73" fillId="5" borderId="0" xfId="8" applyFont="1" applyFill="1" applyAlignment="1">
      <alignment vertical="center" wrapText="1"/>
    </xf>
    <xf numFmtId="0" fontId="70" fillId="5" borderId="0" xfId="3" applyNumberFormat="1" applyFont="1" applyFill="1" applyBorder="1" applyAlignment="1">
      <alignment horizontal="left" vertical="center"/>
    </xf>
    <xf numFmtId="0" fontId="73" fillId="5" borderId="0" xfId="8" applyFont="1" applyFill="1">
      <alignment vertical="center"/>
    </xf>
    <xf numFmtId="0" fontId="73" fillId="0" borderId="0" xfId="8" applyFont="1">
      <alignment vertical="center"/>
    </xf>
    <xf numFmtId="0" fontId="70" fillId="0" borderId="0" xfId="8" applyFont="1">
      <alignment vertical="center"/>
    </xf>
    <xf numFmtId="0" fontId="79" fillId="0" borderId="0" xfId="8" applyFont="1">
      <alignment vertical="center"/>
    </xf>
    <xf numFmtId="164" fontId="73" fillId="0" borderId="0" xfId="8" applyNumberFormat="1" applyFont="1">
      <alignment vertical="center"/>
    </xf>
    <xf numFmtId="0" fontId="73" fillId="14" borderId="0" xfId="8" applyFont="1" applyFill="1">
      <alignment vertical="center"/>
    </xf>
    <xf numFmtId="0" fontId="79" fillId="0" borderId="4" xfId="8" applyFont="1" applyBorder="1">
      <alignment vertical="center"/>
    </xf>
    <xf numFmtId="164" fontId="73" fillId="0" borderId="4" xfId="14" applyFont="1" applyFill="1" applyBorder="1" applyAlignment="1">
      <alignment vertical="center"/>
    </xf>
    <xf numFmtId="0" fontId="21" fillId="5" borderId="5" xfId="8" applyFont="1" applyFill="1" applyBorder="1" applyAlignment="1">
      <alignment horizontal="left"/>
    </xf>
    <xf numFmtId="171" fontId="70" fillId="5" borderId="0" xfId="8" applyNumberFormat="1" applyFont="1" applyFill="1">
      <alignment vertical="center"/>
    </xf>
    <xf numFmtId="0" fontId="73" fillId="5" borderId="5" xfId="8" applyFont="1" applyFill="1" applyBorder="1">
      <alignment vertical="center"/>
    </xf>
    <xf numFmtId="164" fontId="70" fillId="0" borderId="4" xfId="14" applyFont="1" applyBorder="1" applyAlignment="1">
      <alignment vertical="center"/>
    </xf>
    <xf numFmtId="164" fontId="21" fillId="0" borderId="4" xfId="14" applyFont="1" applyBorder="1" applyAlignment="1">
      <alignment horizontal="center" vertical="center" wrapText="1"/>
    </xf>
    <xf numFmtId="164" fontId="73" fillId="0" borderId="4" xfId="14" applyFont="1" applyBorder="1" applyAlignment="1">
      <alignment vertical="center"/>
    </xf>
    <xf numFmtId="0" fontId="68" fillId="0" borderId="18" xfId="8" applyFont="1" applyBorder="1" applyAlignment="1">
      <alignment horizontal="center" vertical="center" wrapText="1" shrinkToFit="1"/>
    </xf>
    <xf numFmtId="0" fontId="68" fillId="0" borderId="2" xfId="8" applyFont="1" applyBorder="1" applyAlignment="1">
      <alignment horizontal="center" vertical="center"/>
    </xf>
    <xf numFmtId="164" fontId="76" fillId="0" borderId="2" xfId="14" applyFont="1" applyBorder="1" applyAlignment="1">
      <alignment vertical="center"/>
    </xf>
    <xf numFmtId="0" fontId="71" fillId="10" borderId="17" xfId="29" applyFont="1" applyFill="1" applyBorder="1" applyAlignment="1">
      <alignment horizontal="center" vertical="center"/>
    </xf>
    <xf numFmtId="168" fontId="68" fillId="0" borderId="19" xfId="8" applyNumberFormat="1" applyFont="1" applyBorder="1" applyAlignment="1">
      <alignment horizontal="left" vertical="center"/>
    </xf>
    <xf numFmtId="14" fontId="68" fillId="0" borderId="19" xfId="8" applyNumberFormat="1" applyFont="1" applyBorder="1" applyAlignment="1">
      <alignment horizontal="center" vertical="center"/>
    </xf>
    <xf numFmtId="0" fontId="68" fillId="0" borderId="20" xfId="8" applyFont="1" applyBorder="1" applyAlignment="1">
      <alignment horizontal="center" vertical="center" wrapText="1" shrinkToFit="1"/>
    </xf>
    <xf numFmtId="0" fontId="68" fillId="0" borderId="19" xfId="8" applyFont="1" applyBorder="1" applyAlignment="1">
      <alignment horizontal="center" vertical="center"/>
    </xf>
    <xf numFmtId="0" fontId="68" fillId="0" borderId="24" xfId="8" applyFont="1" applyBorder="1" applyAlignment="1">
      <alignment horizontal="center" vertical="center"/>
    </xf>
    <xf numFmtId="0" fontId="68" fillId="0" borderId="25" xfId="8" applyFont="1" applyBorder="1" applyAlignment="1">
      <alignment horizontal="center" vertical="center"/>
    </xf>
    <xf numFmtId="164" fontId="74" fillId="0" borderId="26" xfId="14" applyFont="1" applyFill="1" applyBorder="1" applyAlignment="1">
      <alignment horizontal="right" vertical="center"/>
    </xf>
    <xf numFmtId="164" fontId="74" fillId="0" borderId="27" xfId="14" applyFont="1" applyFill="1" applyBorder="1" applyAlignment="1">
      <alignment horizontal="right" vertical="center"/>
    </xf>
    <xf numFmtId="164" fontId="74" fillId="10" borderId="28" xfId="14" applyFont="1" applyFill="1" applyBorder="1" applyAlignment="1">
      <alignment horizontal="right" vertical="center"/>
    </xf>
    <xf numFmtId="164" fontId="75" fillId="10" borderId="28" xfId="14" applyFont="1" applyFill="1" applyBorder="1" applyAlignment="1">
      <alignment horizontal="right" vertical="center"/>
    </xf>
    <xf numFmtId="176" fontId="74" fillId="0" borderId="28" xfId="14" applyNumberFormat="1" applyFont="1" applyFill="1" applyBorder="1" applyAlignment="1">
      <alignment horizontal="right" vertical="center"/>
    </xf>
    <xf numFmtId="176" fontId="75" fillId="10" borderId="29" xfId="14" applyNumberFormat="1" applyFont="1" applyFill="1" applyBorder="1" applyAlignment="1">
      <alignment horizontal="right" vertical="center"/>
    </xf>
    <xf numFmtId="1" fontId="68" fillId="10" borderId="0" xfId="29" applyNumberFormat="1" applyFont="1" applyFill="1" applyAlignment="1" applyProtection="1">
      <alignment horizontal="left" vertical="top" wrapText="1"/>
      <protection locked="0"/>
    </xf>
    <xf numFmtId="0" fontId="7" fillId="0" borderId="0" xfId="8" applyFont="1" applyAlignment="1">
      <alignment horizontal="center"/>
    </xf>
    <xf numFmtId="0" fontId="12" fillId="0" borderId="4" xfId="8" applyFont="1" applyBorder="1" applyAlignment="1">
      <alignment horizontal="center" vertical="center"/>
    </xf>
    <xf numFmtId="164" fontId="11" fillId="0" borderId="0" xfId="8" applyNumberFormat="1" applyFont="1" applyAlignment="1">
      <alignment horizontal="center" vertical="center"/>
    </xf>
    <xf numFmtId="164" fontId="16" fillId="0" borderId="0" xfId="8" applyNumberFormat="1" applyFont="1" applyAlignment="1">
      <alignment horizontal="center" vertical="center"/>
    </xf>
    <xf numFmtId="164" fontId="73" fillId="0" borderId="0" xfId="8" applyNumberFormat="1" applyFont="1" applyAlignment="1">
      <alignment horizontal="center" vertical="center"/>
    </xf>
    <xf numFmtId="0" fontId="73" fillId="0" borderId="0" xfId="8" applyFont="1" applyAlignment="1">
      <alignment horizontal="center" vertical="center"/>
    </xf>
    <xf numFmtId="0" fontId="16" fillId="0" borderId="0" xfId="8" applyFont="1" applyAlignment="1">
      <alignment horizontal="center" vertical="center"/>
    </xf>
    <xf numFmtId="164" fontId="16" fillId="0" borderId="0" xfId="14" applyFont="1" applyFill="1" applyAlignment="1">
      <alignment horizontal="center" vertical="center"/>
    </xf>
    <xf numFmtId="0" fontId="7" fillId="0" borderId="0" xfId="8" applyFont="1" applyAlignment="1">
      <alignment horizontal="left"/>
    </xf>
    <xf numFmtId="0" fontId="12" fillId="0" borderId="4" xfId="8" applyFont="1" applyBorder="1" applyAlignment="1">
      <alignment horizontal="left" vertical="center"/>
    </xf>
    <xf numFmtId="164" fontId="11" fillId="0" borderId="0" xfId="8" applyNumberFormat="1" applyFont="1" applyAlignment="1">
      <alignment horizontal="left" vertical="center"/>
    </xf>
    <xf numFmtId="164" fontId="16" fillId="0" borderId="0" xfId="8" applyNumberFormat="1" applyFont="1" applyAlignment="1">
      <alignment horizontal="left" vertical="center"/>
    </xf>
    <xf numFmtId="164" fontId="73" fillId="0" borderId="0" xfId="8" applyNumberFormat="1" applyFont="1" applyAlignment="1">
      <alignment horizontal="left" vertical="center"/>
    </xf>
    <xf numFmtId="0" fontId="73" fillId="0" borderId="0" xfId="8" applyFont="1" applyAlignment="1">
      <alignment horizontal="left" vertical="center"/>
    </xf>
    <xf numFmtId="0" fontId="16" fillId="0" borderId="0" xfId="8" applyFont="1" applyAlignment="1">
      <alignment horizontal="left" vertical="center"/>
    </xf>
    <xf numFmtId="164" fontId="16" fillId="0" borderId="0" xfId="14" applyFont="1" applyFill="1" applyAlignment="1">
      <alignment horizontal="left" vertical="center"/>
    </xf>
    <xf numFmtId="0" fontId="7" fillId="0" borderId="0" xfId="8" applyFont="1" applyAlignment="1">
      <alignment horizontal="right" vertical="center"/>
    </xf>
    <xf numFmtId="164" fontId="16" fillId="0" borderId="0" xfId="8" applyNumberFormat="1" applyFont="1" applyAlignment="1">
      <alignment horizontal="right" vertical="center"/>
    </xf>
    <xf numFmtId="164" fontId="26" fillId="10" borderId="0" xfId="8" applyNumberFormat="1" applyFont="1" applyFill="1" applyAlignment="1">
      <alignment horizontal="left" vertical="center"/>
    </xf>
    <xf numFmtId="44" fontId="12" fillId="0" borderId="0" xfId="8" applyNumberFormat="1" applyFont="1" applyAlignment="1">
      <alignment horizontal="left" vertical="center"/>
    </xf>
    <xf numFmtId="0" fontId="82" fillId="0" borderId="0" xfId="0" applyFont="1">
      <alignment vertical="center"/>
    </xf>
    <xf numFmtId="0" fontId="84" fillId="0" borderId="0" xfId="0" applyFont="1">
      <alignment vertical="center"/>
    </xf>
    <xf numFmtId="0" fontId="84" fillId="0" borderId="0" xfId="0" applyFont="1" applyAlignment="1">
      <alignment horizontal="center" vertical="center"/>
    </xf>
    <xf numFmtId="0" fontId="84" fillId="0" borderId="0" xfId="0" applyFont="1" applyAlignment="1">
      <alignment horizontal="center" vertical="center" wrapText="1"/>
    </xf>
    <xf numFmtId="0" fontId="84" fillId="0" borderId="0" xfId="0" applyFont="1" applyAlignment="1">
      <alignment horizontal="right" vertical="center"/>
    </xf>
    <xf numFmtId="0" fontId="87" fillId="0" borderId="0" xfId="0" applyFont="1">
      <alignment vertical="center"/>
    </xf>
    <xf numFmtId="0" fontId="87" fillId="0" borderId="0" xfId="0" applyFont="1" applyAlignment="1">
      <alignment horizontal="center" vertical="center" wrapText="1"/>
    </xf>
    <xf numFmtId="0" fontId="89" fillId="0" borderId="0" xfId="0" applyFont="1">
      <alignment vertical="center"/>
    </xf>
    <xf numFmtId="0" fontId="84" fillId="0" borderId="10" xfId="0" applyFont="1" applyBorder="1">
      <alignment vertical="center"/>
    </xf>
    <xf numFmtId="0" fontId="84" fillId="0" borderId="30" xfId="0" applyFont="1" applyBorder="1" applyAlignment="1">
      <alignment horizontal="center" vertical="center"/>
    </xf>
    <xf numFmtId="0" fontId="84" fillId="0" borderId="9" xfId="0" applyFont="1" applyBorder="1">
      <alignment vertical="center"/>
    </xf>
    <xf numFmtId="179" fontId="84" fillId="0" borderId="9" xfId="0" applyNumberFormat="1" applyFont="1" applyBorder="1" applyAlignment="1">
      <alignment horizontal="center" vertical="center"/>
    </xf>
    <xf numFmtId="0" fontId="84" fillId="0" borderId="9" xfId="0" applyFont="1" applyBorder="1" applyAlignment="1">
      <alignment horizontal="center" vertical="center"/>
    </xf>
    <xf numFmtId="164" fontId="84" fillId="0" borderId="9" xfId="14" applyFont="1" applyBorder="1" applyAlignment="1">
      <alignment horizontal="center" vertical="center"/>
    </xf>
    <xf numFmtId="164" fontId="84" fillId="0" borderId="9" xfId="14" applyFont="1" applyBorder="1" applyAlignment="1">
      <alignment vertical="center"/>
    </xf>
    <xf numFmtId="0" fontId="84" fillId="0" borderId="31" xfId="0" applyFont="1" applyBorder="1" applyAlignment="1">
      <alignment horizontal="center" vertical="center"/>
    </xf>
    <xf numFmtId="0" fontId="84" fillId="0" borderId="31" xfId="0" applyFont="1" applyBorder="1">
      <alignment vertical="center"/>
    </xf>
    <xf numFmtId="179" fontId="84" fillId="0" borderId="31" xfId="0" applyNumberFormat="1" applyFont="1" applyBorder="1" applyAlignment="1">
      <alignment horizontal="center" vertical="center"/>
    </xf>
    <xf numFmtId="164" fontId="84" fillId="0" borderId="31" xfId="14" applyFont="1" applyBorder="1" applyAlignment="1">
      <alignment horizontal="center" vertical="center"/>
    </xf>
    <xf numFmtId="164" fontId="84" fillId="0" borderId="31" xfId="14" applyFont="1" applyBorder="1" applyAlignment="1">
      <alignment vertical="center"/>
    </xf>
    <xf numFmtId="0" fontId="84" fillId="11" borderId="0" xfId="0" applyFont="1" applyFill="1" applyAlignment="1">
      <alignment horizontal="center" vertical="center"/>
    </xf>
    <xf numFmtId="180" fontId="84" fillId="11" borderId="0" xfId="0" applyNumberFormat="1" applyFont="1" applyFill="1" applyAlignment="1">
      <alignment horizontal="center" vertical="center"/>
    </xf>
    <xf numFmtId="0" fontId="84" fillId="11" borderId="23" xfId="0" applyFont="1" applyFill="1" applyBorder="1" applyAlignment="1">
      <alignment horizontal="center" vertical="center"/>
    </xf>
    <xf numFmtId="164" fontId="84" fillId="11" borderId="23" xfId="14" applyFont="1" applyFill="1" applyBorder="1" applyAlignment="1">
      <alignment horizontal="center" vertical="center"/>
    </xf>
    <xf numFmtId="0" fontId="91" fillId="0" borderId="0" xfId="0" applyFont="1">
      <alignment vertical="center"/>
    </xf>
    <xf numFmtId="0" fontId="82" fillId="15" borderId="0" xfId="0" applyFont="1" applyFill="1">
      <alignment vertical="center"/>
    </xf>
    <xf numFmtId="0" fontId="91" fillId="15" borderId="0" xfId="0" applyFont="1" applyFill="1">
      <alignment vertical="center"/>
    </xf>
    <xf numFmtId="0" fontId="91" fillId="0" borderId="4" xfId="0" applyFont="1" applyBorder="1">
      <alignment vertical="center"/>
    </xf>
    <xf numFmtId="164" fontId="82" fillId="0" borderId="0" xfId="14" applyFont="1" applyAlignment="1">
      <alignment vertical="center"/>
    </xf>
    <xf numFmtId="164" fontId="91" fillId="0" borderId="4" xfId="14" applyFont="1" applyBorder="1" applyAlignment="1">
      <alignment vertical="center"/>
    </xf>
    <xf numFmtId="164" fontId="91" fillId="0" borderId="0" xfId="14" applyFont="1" applyAlignment="1">
      <alignment vertical="center"/>
    </xf>
    <xf numFmtId="0" fontId="92" fillId="10" borderId="4" xfId="0" applyFont="1" applyFill="1" applyBorder="1" applyAlignment="1">
      <alignment horizontal="center" vertical="center"/>
    </xf>
    <xf numFmtId="0" fontId="92" fillId="15" borderId="0" xfId="0" applyFont="1" applyFill="1" applyAlignment="1">
      <alignment horizontal="center" vertical="center"/>
    </xf>
    <xf numFmtId="164" fontId="92" fillId="10" borderId="4" xfId="14" applyFont="1" applyFill="1" applyBorder="1" applyAlignment="1">
      <alignment horizontal="center" vertical="center"/>
    </xf>
    <xf numFmtId="0" fontId="91" fillId="11" borderId="23" xfId="0" applyFont="1" applyFill="1" applyBorder="1" applyAlignment="1">
      <alignment horizontal="center" vertical="center"/>
    </xf>
    <xf numFmtId="164" fontId="91" fillId="11" borderId="23" xfId="14" applyFont="1" applyFill="1" applyBorder="1" applyAlignment="1">
      <alignment horizontal="center" vertical="center"/>
    </xf>
    <xf numFmtId="0" fontId="91" fillId="0" borderId="0" xfId="0" applyFont="1" applyAlignment="1">
      <alignment horizontal="left" vertical="center"/>
    </xf>
    <xf numFmtId="0" fontId="91" fillId="11" borderId="0" xfId="0" applyFont="1" applyFill="1" applyAlignment="1">
      <alignment horizontal="center" vertical="center"/>
    </xf>
    <xf numFmtId="0" fontId="91" fillId="0" borderId="0" xfId="0" applyFont="1" applyAlignment="1">
      <alignment horizontal="right" vertical="center"/>
    </xf>
    <xf numFmtId="180" fontId="91" fillId="11" borderId="0" xfId="0" applyNumberFormat="1" applyFont="1" applyFill="1" applyAlignment="1">
      <alignment horizontal="center" vertical="center"/>
    </xf>
    <xf numFmtId="0" fontId="84" fillId="0" borderId="10" xfId="0" applyFont="1" applyBorder="1" applyAlignment="1">
      <alignment horizontal="left" vertical="center"/>
    </xf>
    <xf numFmtId="0" fontId="87" fillId="0" borderId="0" xfId="0" applyFont="1" applyAlignment="1">
      <alignment horizontal="center" vertical="center" wrapText="1"/>
    </xf>
    <xf numFmtId="0" fontId="84" fillId="0" borderId="0" xfId="0" applyFont="1" applyAlignment="1">
      <alignment horizontal="left" vertical="center"/>
    </xf>
    <xf numFmtId="7" fontId="86" fillId="11" borderId="28" xfId="0" applyNumberFormat="1" applyFont="1" applyFill="1" applyBorder="1" applyAlignment="1">
      <alignment horizontal="right" vertical="center"/>
    </xf>
    <xf numFmtId="7" fontId="86" fillId="11" borderId="21" xfId="0" applyNumberFormat="1" applyFont="1" applyFill="1" applyBorder="1" applyAlignment="1">
      <alignment horizontal="right" vertical="center"/>
    </xf>
    <xf numFmtId="0" fontId="84" fillId="0" borderId="5" xfId="0" applyFont="1" applyBorder="1" applyAlignment="1">
      <alignment horizontal="center" vertical="center"/>
    </xf>
    <xf numFmtId="181" fontId="90" fillId="11" borderId="28" xfId="0" applyNumberFormat="1" applyFont="1" applyFill="1" applyBorder="1" applyAlignment="1">
      <alignment horizontal="right" vertical="center"/>
    </xf>
    <xf numFmtId="181" fontId="90" fillId="11" borderId="21" xfId="0" applyNumberFormat="1" applyFont="1" applyFill="1" applyBorder="1" applyAlignment="1">
      <alignment horizontal="right" vertical="center"/>
    </xf>
    <xf numFmtId="0" fontId="88" fillId="0" borderId="0" xfId="0" applyFont="1" applyAlignment="1">
      <alignment horizontal="right" vertical="center"/>
    </xf>
    <xf numFmtId="0" fontId="86" fillId="10" borderId="7" xfId="0" applyFont="1" applyFill="1" applyBorder="1" applyAlignment="1">
      <alignment horizontal="right" vertical="center"/>
    </xf>
    <xf numFmtId="0" fontId="86" fillId="10" borderId="11" xfId="0" applyFont="1" applyFill="1" applyBorder="1" applyAlignment="1">
      <alignment horizontal="right" vertical="center"/>
    </xf>
    <xf numFmtId="7" fontId="90" fillId="11" borderId="28" xfId="0" applyNumberFormat="1" applyFont="1" applyFill="1" applyBorder="1" applyAlignment="1">
      <alignment horizontal="right" vertical="center"/>
    </xf>
    <xf numFmtId="7" fontId="90" fillId="11" borderId="21" xfId="0" applyNumberFormat="1" applyFont="1" applyFill="1" applyBorder="1" applyAlignment="1">
      <alignment horizontal="right" vertical="center"/>
    </xf>
    <xf numFmtId="0" fontId="85" fillId="0" borderId="0" xfId="0" applyFont="1" applyAlignment="1">
      <alignment horizontal="center" vertical="center"/>
    </xf>
    <xf numFmtId="0" fontId="83" fillId="0" borderId="0" xfId="0" applyFont="1" applyAlignment="1">
      <alignment horizontal="center" vertical="center"/>
    </xf>
    <xf numFmtId="0" fontId="84" fillId="0" borderId="0" xfId="0" applyFont="1" applyAlignment="1">
      <alignment horizontal="center" vertical="center" wrapText="1"/>
    </xf>
    <xf numFmtId="0" fontId="84" fillId="0" borderId="0" xfId="0" applyFont="1" applyAlignment="1">
      <alignment horizontal="center" vertical="center"/>
    </xf>
    <xf numFmtId="0" fontId="86" fillId="0" borderId="0" xfId="0" applyFont="1" applyAlignment="1">
      <alignment horizontal="center" vertical="center" wrapText="1"/>
    </xf>
    <xf numFmtId="181" fontId="90" fillId="0" borderId="0" xfId="0" applyNumberFormat="1" applyFont="1" applyAlignment="1">
      <alignment horizontal="right" vertical="center"/>
    </xf>
    <xf numFmtId="0" fontId="88" fillId="0" borderId="8" xfId="0" applyFont="1" applyBorder="1" applyAlignment="1">
      <alignment horizontal="right" vertical="center"/>
    </xf>
    <xf numFmtId="0" fontId="23" fillId="0" borderId="0" xfId="8" applyFont="1" applyAlignment="1">
      <alignment horizontal="center" vertical="center"/>
    </xf>
    <xf numFmtId="0" fontId="68" fillId="0" borderId="0" xfId="29" applyFont="1" applyAlignment="1" applyProtection="1">
      <alignment horizontal="left" vertical="top"/>
      <protection locked="0"/>
    </xf>
    <xf numFmtId="0" fontId="68" fillId="0" borderId="0" xfId="29" applyFont="1" applyAlignment="1" applyProtection="1">
      <alignment horizontal="left" vertical="top" wrapText="1"/>
      <protection locked="0"/>
    </xf>
    <xf numFmtId="0" fontId="17" fillId="5" borderId="0" xfId="8" applyFont="1" applyFill="1" applyAlignment="1">
      <alignment horizontal="left" vertical="top"/>
    </xf>
    <xf numFmtId="171" fontId="12" fillId="5" borderId="0" xfId="8" applyNumberFormat="1" applyFont="1" applyFill="1" applyAlignment="1">
      <alignment horizontal="center" vertical="center"/>
    </xf>
    <xf numFmtId="16" fontId="8" fillId="10" borderId="21" xfId="8" applyNumberFormat="1" applyFont="1" applyFill="1" applyBorder="1">
      <alignment vertical="center"/>
    </xf>
    <xf numFmtId="16" fontId="8" fillId="10" borderId="4" xfId="8" applyNumberFormat="1" applyFont="1" applyFill="1" applyBorder="1">
      <alignment vertical="center"/>
    </xf>
    <xf numFmtId="0" fontId="21" fillId="5" borderId="5" xfId="8" applyFont="1" applyFill="1" applyBorder="1" applyAlignment="1">
      <alignment horizontal="center" vertical="center"/>
    </xf>
    <xf numFmtId="0" fontId="81" fillId="10" borderId="0" xfId="29" applyFont="1" applyFill="1" applyAlignment="1">
      <alignment horizontal="center" vertical="top"/>
    </xf>
    <xf numFmtId="0" fontId="74" fillId="10" borderId="0" xfId="8" applyFont="1" applyFill="1" applyAlignment="1">
      <alignment horizontal="center" vertical="center"/>
    </xf>
    <xf numFmtId="16" fontId="8" fillId="0" borderId="21" xfId="8" applyNumberFormat="1" applyFont="1" applyBorder="1">
      <alignment vertical="center"/>
    </xf>
    <xf numFmtId="16" fontId="8" fillId="0" borderId="4" xfId="8" applyNumberFormat="1" applyFont="1" applyBorder="1">
      <alignment vertical="center"/>
    </xf>
    <xf numFmtId="16" fontId="8" fillId="10" borderId="22" xfId="8" applyNumberFormat="1" applyFont="1" applyFill="1" applyBorder="1">
      <alignment vertical="center"/>
    </xf>
    <xf numFmtId="16" fontId="8" fillId="10" borderId="23" xfId="8" applyNumberFormat="1" applyFont="1" applyFill="1" applyBorder="1">
      <alignment vertical="center"/>
    </xf>
    <xf numFmtId="0" fontId="80" fillId="0" borderId="0" xfId="29" applyFont="1" applyAlignment="1">
      <alignment horizontal="center"/>
    </xf>
    <xf numFmtId="0" fontId="66" fillId="0" borderId="0" xfId="29" applyFont="1" applyAlignment="1">
      <alignment horizontal="center" vertical="center"/>
    </xf>
    <xf numFmtId="0" fontId="67" fillId="0" borderId="0" xfId="29" applyFont="1" applyAlignment="1">
      <alignment horizontal="center" vertical="center"/>
    </xf>
    <xf numFmtId="0" fontId="69" fillId="0" borderId="0" xfId="29" applyFont="1" applyAlignment="1">
      <alignment horizontal="center" vertical="center"/>
    </xf>
    <xf numFmtId="0" fontId="21" fillId="0" borderId="0" xfId="29" applyFont="1" applyAlignment="1">
      <alignment horizontal="center" vertical="center"/>
    </xf>
    <xf numFmtId="0" fontId="19" fillId="5" borderId="0" xfId="8" applyFont="1" applyFill="1" applyAlignment="1">
      <alignment horizontal="center" vertical="center"/>
    </xf>
    <xf numFmtId="0" fontId="20" fillId="5" borderId="0" xfId="8" applyFont="1" applyFill="1" applyAlignment="1">
      <alignment horizontal="center" vertical="center"/>
    </xf>
    <xf numFmtId="0" fontId="19" fillId="5" borderId="5" xfId="8" applyFont="1" applyFill="1" applyBorder="1" applyAlignment="1">
      <alignment horizontal="center" vertical="center"/>
    </xf>
    <xf numFmtId="164" fontId="16" fillId="5" borderId="0" xfId="8" applyNumberFormat="1" applyFont="1" applyFill="1" applyAlignment="1">
      <alignment horizontal="left" vertical="center"/>
    </xf>
    <xf numFmtId="164" fontId="16" fillId="5" borderId="8" xfId="8" applyNumberFormat="1" applyFont="1" applyFill="1" applyBorder="1" applyAlignment="1">
      <alignment horizontal="left" vertical="center"/>
    </xf>
    <xf numFmtId="16" fontId="8" fillId="4" borderId="4" xfId="8" applyNumberFormat="1" applyFont="1" applyFill="1" applyBorder="1" applyAlignment="1">
      <alignment horizontal="center" vertical="center"/>
    </xf>
    <xf numFmtId="0" fontId="23" fillId="0" borderId="4" xfId="8" applyFont="1" applyBorder="1" applyAlignment="1">
      <alignment horizontal="center" vertical="center"/>
    </xf>
    <xf numFmtId="171" fontId="12" fillId="5" borderId="5" xfId="8" applyNumberFormat="1" applyFont="1" applyFill="1" applyBorder="1" applyAlignment="1">
      <alignment horizontal="center" vertical="center"/>
    </xf>
    <xf numFmtId="164" fontId="21" fillId="6" borderId="4" xfId="14" applyFont="1" applyFill="1" applyBorder="1" applyAlignment="1">
      <alignment horizontal="center" vertical="center"/>
    </xf>
    <xf numFmtId="0" fontId="7" fillId="0" borderId="6" xfId="8" applyFont="1" applyBorder="1" applyAlignment="1">
      <alignment horizontal="center" vertical="center"/>
    </xf>
    <xf numFmtId="0" fontId="7" fillId="0" borderId="2" xfId="8" applyFont="1" applyBorder="1" applyAlignment="1">
      <alignment horizontal="center" vertical="center"/>
    </xf>
    <xf numFmtId="0" fontId="7" fillId="0" borderId="6" xfId="8" applyFont="1" applyBorder="1" applyAlignment="1">
      <alignment horizontal="center" vertical="center" wrapText="1"/>
    </xf>
    <xf numFmtId="0" fontId="7" fillId="0" borderId="2" xfId="8" applyFont="1" applyBorder="1" applyAlignment="1">
      <alignment horizontal="center" vertical="center" wrapText="1"/>
    </xf>
    <xf numFmtId="175" fontId="7" fillId="0" borderId="6" xfId="8" applyNumberFormat="1" applyFont="1" applyBorder="1" applyAlignment="1">
      <alignment horizontal="center" vertical="center"/>
    </xf>
    <xf numFmtId="175" fontId="7" fillId="0" borderId="2" xfId="8" applyNumberFormat="1" applyFont="1" applyBorder="1" applyAlignment="1">
      <alignment horizontal="center" vertical="center"/>
    </xf>
    <xf numFmtId="168" fontId="7" fillId="0" borderId="6" xfId="8" applyNumberFormat="1" applyFont="1" applyBorder="1" applyAlignment="1">
      <alignment horizontal="center" vertical="center"/>
    </xf>
    <xf numFmtId="168" fontId="7" fillId="0" borderId="2" xfId="8" applyNumberFormat="1" applyFont="1" applyBorder="1" applyAlignment="1">
      <alignment horizontal="center" vertical="center"/>
    </xf>
    <xf numFmtId="170" fontId="7" fillId="0" borderId="6" xfId="8" applyNumberFormat="1" applyFont="1" applyBorder="1" applyAlignment="1">
      <alignment horizontal="center" vertical="center"/>
    </xf>
    <xf numFmtId="170" fontId="7" fillId="0" borderId="2" xfId="8" applyNumberFormat="1" applyFont="1" applyBorder="1" applyAlignment="1">
      <alignment horizontal="center" vertical="center"/>
    </xf>
    <xf numFmtId="0" fontId="56" fillId="8" borderId="7" xfId="8" applyFont="1" applyFill="1" applyBorder="1" applyAlignment="1">
      <alignment horizontal="center" vertical="center"/>
    </xf>
    <xf numFmtId="0" fontId="56" fillId="8" borderId="10" xfId="8" applyFont="1" applyFill="1" applyBorder="1" applyAlignment="1">
      <alignment horizontal="center" vertical="center"/>
    </xf>
    <xf numFmtId="0" fontId="56" fillId="8" borderId="11" xfId="8" applyFont="1" applyFill="1" applyBorder="1" applyAlignment="1">
      <alignment horizontal="center" vertical="center"/>
    </xf>
    <xf numFmtId="0" fontId="42" fillId="5" borderId="0" xfId="8" applyFont="1" applyFill="1" applyAlignment="1">
      <alignment horizontal="center" vertical="center"/>
    </xf>
    <xf numFmtId="0" fontId="44" fillId="5" borderId="5" xfId="9" applyFont="1" applyFill="1" applyBorder="1" applyAlignment="1">
      <alignment horizontal="center" vertical="center"/>
    </xf>
    <xf numFmtId="16" fontId="48" fillId="4" borderId="4" xfId="9" applyNumberFormat="1" applyFont="1" applyFill="1" applyBorder="1" applyAlignment="1">
      <alignment horizontal="center" vertical="center"/>
    </xf>
    <xf numFmtId="0" fontId="57" fillId="9" borderId="4" xfId="9" applyFont="1" applyFill="1" applyBorder="1" applyAlignment="1">
      <alignment horizontal="center" vertical="center"/>
    </xf>
    <xf numFmtId="171" fontId="58" fillId="5" borderId="5" xfId="8" applyNumberFormat="1" applyFont="1" applyFill="1" applyBorder="1" applyAlignment="1">
      <alignment horizontal="left" vertical="center"/>
    </xf>
    <xf numFmtId="0" fontId="17" fillId="6" borderId="7" xfId="8" applyFont="1" applyFill="1" applyBorder="1" applyAlignment="1">
      <alignment horizontal="center" vertical="center" wrapText="1"/>
    </xf>
    <xf numFmtId="0" fontId="17" fillId="6" borderId="11" xfId="8" applyFont="1" applyFill="1" applyBorder="1" applyAlignment="1">
      <alignment horizontal="center" vertical="center" wrapText="1"/>
    </xf>
    <xf numFmtId="16" fontId="21" fillId="6" borderId="4" xfId="8" applyNumberFormat="1" applyFont="1" applyFill="1" applyBorder="1" applyAlignment="1">
      <alignment horizontal="right" vertical="center"/>
    </xf>
    <xf numFmtId="0" fontId="17" fillId="5" borderId="0" xfId="8" applyFont="1" applyFill="1" applyAlignment="1">
      <alignment horizontal="left" vertical="center"/>
    </xf>
  </cellXfs>
  <cellStyles count="30">
    <cellStyle name="Currency" xfId="14" builtinId="4"/>
    <cellStyle name="Currency 2" xfId="18" xr:uid="{00000000-0005-0000-0000-000001000000}"/>
    <cellStyle name="Currency 2 2" xfId="23" xr:uid="{00000000-0005-0000-0000-000002000000}"/>
    <cellStyle name="Currency 2 2 2" xfId="28" xr:uid="{00000000-0005-0000-0000-000003000000}"/>
    <cellStyle name="Currency 2 3" xfId="27"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6" xr:uid="{00000000-0005-0000-0000-00000A000000}"/>
    <cellStyle name="Normal_PMC07-salary tax WP 0207-W010307-SLK 2" xfId="22" xr:uid="{00000000-0005-0000-0000-00000B000000}"/>
    <cellStyle name="パーセント" xfId="1" xr:uid="{00000000-0005-0000-0000-00000C000000}"/>
    <cellStyle name="桁区切り" xfId="2" xr:uid="{00000000-0005-0000-0000-00000D000000}"/>
    <cellStyle name="桁区切り 2" xfId="3" xr:uid="{00000000-0005-0000-0000-00000E000000}"/>
    <cellStyle name="桁区切り 2 2" xfId="4" xr:uid="{00000000-0005-0000-0000-00000F000000}"/>
    <cellStyle name="桁区切り 3" xfId="5" xr:uid="{00000000-0005-0000-0000-000010000000}"/>
    <cellStyle name="桁区切り 4" xfId="15" xr:uid="{00000000-0005-0000-0000-000011000000}"/>
    <cellStyle name="桁区切り 4 2" xfId="20" xr:uid="{00000000-0005-0000-0000-000012000000}"/>
    <cellStyle name="桁区切り 4 3" xfId="25" xr:uid="{00000000-0005-0000-0000-000013000000}"/>
    <cellStyle name="桁区切り[0]" xfId="6" xr:uid="{00000000-0005-0000-0000-000014000000}"/>
    <cellStyle name="標準" xfId="29" xr:uid="{202467C8-507C-4BEA-A08C-B1F363CC9595}"/>
    <cellStyle name="標準 2" xfId="8" xr:uid="{00000000-0005-0000-0000-000015000000}"/>
    <cellStyle name="標準 2 2" xfId="9" xr:uid="{00000000-0005-0000-0000-000016000000}"/>
    <cellStyle name="標準 2 3" xfId="24" xr:uid="{00000000-0005-0000-0000-000017000000}"/>
    <cellStyle name="標準 3" xfId="10" xr:uid="{00000000-0005-0000-0000-000018000000}"/>
    <cellStyle name="標準 4" xfId="7" xr:uid="{00000000-0005-0000-0000-000019000000}"/>
    <cellStyle name="通貨" xfId="11" xr:uid="{00000000-0005-0000-0000-00001A000000}"/>
    <cellStyle name="通貨 2" xfId="12" xr:uid="{00000000-0005-0000-0000-00001B000000}"/>
    <cellStyle name="通貨[0]" xfId="13" xr:uid="{00000000-0005-0000-0000-00001C000000}"/>
  </cellStyles>
  <dxfs count="0"/>
  <tableStyles count="0" defaultTableStyle="TableStyleMedium2" defaultPivotStyle="PivotStyleLight16"/>
  <colors>
    <mruColors>
      <color rgb="FFCCF9FC"/>
      <color rgb="FF65D7FF"/>
      <color rgb="FF3399FF"/>
      <color rgb="FFFFE1FF"/>
      <color rgb="FF0000FF"/>
      <color rgb="FFFFEFFF"/>
      <color rgb="FFFFFFCC"/>
      <color rgb="FFFFFF99"/>
      <color rgb="FFFFCCFF"/>
      <color rgb="FFFF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0</xdr:row>
      <xdr:rowOff>82550</xdr:rowOff>
    </xdr:from>
    <xdr:to>
      <xdr:col>1</xdr:col>
      <xdr:colOff>596900</xdr:colOff>
      <xdr:row>2</xdr:row>
      <xdr:rowOff>255390</xdr:rowOff>
    </xdr:to>
    <xdr:pic>
      <xdr:nvPicPr>
        <xdr:cNvPr id="2" name="Picture 1" descr="A close-up of a globe&#10;&#10;AI-generated content may be incorrect.">
          <a:extLst>
            <a:ext uri="{FF2B5EF4-FFF2-40B4-BE49-F238E27FC236}">
              <a16:creationId xmlns:a16="http://schemas.microsoft.com/office/drawing/2014/main" id="{D520BEC1-FBC0-4CC0-AC8F-3FA676A314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2550"/>
          <a:ext cx="679450" cy="687190"/>
        </a:xfrm>
        <a:prstGeom prst="rect">
          <a:avLst/>
        </a:prstGeom>
        <a:noFill/>
        <a:ln>
          <a:noFill/>
        </a:ln>
      </xdr:spPr>
    </xdr:pic>
    <xdr:clientData/>
  </xdr:twoCellAnchor>
  <xdr:twoCellAnchor editAs="oneCell">
    <xdr:from>
      <xdr:col>1</xdr:col>
      <xdr:colOff>1048562</xdr:colOff>
      <xdr:row>24</xdr:row>
      <xdr:rowOff>77010</xdr:rowOff>
    </xdr:from>
    <xdr:to>
      <xdr:col>3</xdr:col>
      <xdr:colOff>428420</xdr:colOff>
      <xdr:row>28</xdr:row>
      <xdr:rowOff>161184</xdr:rowOff>
    </xdr:to>
    <xdr:pic>
      <xdr:nvPicPr>
        <xdr:cNvPr id="6" name="Picture 5" descr="A qr code on a white background&#10;&#10;AI-generated content may be incorrect.">
          <a:extLst>
            <a:ext uri="{FF2B5EF4-FFF2-40B4-BE49-F238E27FC236}">
              <a16:creationId xmlns:a16="http://schemas.microsoft.com/office/drawing/2014/main" id="{0DA08A8B-4D25-43FF-9DFC-DCAE54E306F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520" t="31385" r="25789" b="33978"/>
        <a:stretch>
          <a:fillRect/>
        </a:stretch>
      </xdr:blipFill>
      <xdr:spPr bwMode="auto">
        <a:xfrm>
          <a:off x="1210690" y="5277255"/>
          <a:ext cx="980868" cy="927237"/>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488950</xdr:colOff>
      <xdr:row>4</xdr:row>
      <xdr:rowOff>25400</xdr:rowOff>
    </xdr:from>
    <xdr:to>
      <xdr:col>5</xdr:col>
      <xdr:colOff>0</xdr:colOff>
      <xdr:row>5</xdr:row>
      <xdr:rowOff>95250</xdr:rowOff>
    </xdr:to>
    <xdr:sp macro="" textlink="">
      <xdr:nvSpPr>
        <xdr:cNvPr id="7" name="Rectangle: Rounded Corners 6">
          <a:extLst>
            <a:ext uri="{FF2B5EF4-FFF2-40B4-BE49-F238E27FC236}">
              <a16:creationId xmlns:a16="http://schemas.microsoft.com/office/drawing/2014/main" id="{6A2F6907-532E-2FD2-02C8-CDEEA892169E}"/>
            </a:ext>
          </a:extLst>
        </xdr:cNvPr>
        <xdr:cNvSpPr/>
      </xdr:nvSpPr>
      <xdr:spPr>
        <a:xfrm>
          <a:off x="1720850" y="958850"/>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វិក្កយបត្រអាករ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TAX INVOICE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82550</xdr:colOff>
      <xdr:row>0</xdr:row>
      <xdr:rowOff>82550</xdr:rowOff>
    </xdr:from>
    <xdr:to>
      <xdr:col>1</xdr:col>
      <xdr:colOff>596900</xdr:colOff>
      <xdr:row>2</xdr:row>
      <xdr:rowOff>255390</xdr:rowOff>
    </xdr:to>
    <xdr:pic>
      <xdr:nvPicPr>
        <xdr:cNvPr id="2" name="Picture 1" descr="A close-up of a globe&#10;&#10;AI-generated content may be incorrect.">
          <a:extLst>
            <a:ext uri="{FF2B5EF4-FFF2-40B4-BE49-F238E27FC236}">
              <a16:creationId xmlns:a16="http://schemas.microsoft.com/office/drawing/2014/main" id="{E231D782-804F-45D0-A921-920A6A2584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2550"/>
          <a:ext cx="676275" cy="687190"/>
        </a:xfrm>
        <a:prstGeom prst="rect">
          <a:avLst/>
        </a:prstGeom>
        <a:noFill/>
        <a:ln>
          <a:noFill/>
        </a:ln>
      </xdr:spPr>
    </xdr:pic>
    <xdr:clientData/>
  </xdr:twoCellAnchor>
  <xdr:twoCellAnchor editAs="oneCell">
    <xdr:from>
      <xdr:col>1</xdr:col>
      <xdr:colOff>1035050</xdr:colOff>
      <xdr:row>21</xdr:row>
      <xdr:rowOff>114300</xdr:rowOff>
    </xdr:from>
    <xdr:to>
      <xdr:col>3</xdr:col>
      <xdr:colOff>425450</xdr:colOff>
      <xdr:row>25</xdr:row>
      <xdr:rowOff>161183</xdr:rowOff>
    </xdr:to>
    <xdr:pic>
      <xdr:nvPicPr>
        <xdr:cNvPr id="3" name="Picture 2" descr="A qr code on a white background&#10;&#10;AI-generated content may be incorrect.">
          <a:extLst>
            <a:ext uri="{FF2B5EF4-FFF2-40B4-BE49-F238E27FC236}">
              <a16:creationId xmlns:a16="http://schemas.microsoft.com/office/drawing/2014/main" id="{96244AFD-835B-461E-B708-129F04EC75A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520" t="31385" r="25789" b="33978"/>
        <a:stretch>
          <a:fillRect/>
        </a:stretch>
      </xdr:blipFill>
      <xdr:spPr bwMode="auto">
        <a:xfrm>
          <a:off x="1196975" y="4743450"/>
          <a:ext cx="990600" cy="986683"/>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488950</xdr:colOff>
      <xdr:row>4</xdr:row>
      <xdr:rowOff>25400</xdr:rowOff>
    </xdr:from>
    <xdr:to>
      <xdr:col>5</xdr:col>
      <xdr:colOff>0</xdr:colOff>
      <xdr:row>5</xdr:row>
      <xdr:rowOff>95250</xdr:rowOff>
    </xdr:to>
    <xdr:sp macro="" textlink="">
      <xdr:nvSpPr>
        <xdr:cNvPr id="4" name="Rectangle: Rounded Corners 3">
          <a:extLst>
            <a:ext uri="{FF2B5EF4-FFF2-40B4-BE49-F238E27FC236}">
              <a16:creationId xmlns:a16="http://schemas.microsoft.com/office/drawing/2014/main" id="{701762BE-736D-4479-AF58-A4FC792B2751}"/>
            </a:ext>
          </a:extLst>
        </xdr:cNvPr>
        <xdr:cNvSpPr/>
      </xdr:nvSpPr>
      <xdr:spPr>
        <a:xfrm>
          <a:off x="1720850" y="958850"/>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INVOICE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211929</xdr:colOff>
      <xdr:row>0</xdr:row>
      <xdr:rowOff>250031</xdr:rowOff>
    </xdr:from>
    <xdr:to>
      <xdr:col>1</xdr:col>
      <xdr:colOff>2045493</xdr:colOff>
      <xdr:row>4</xdr:row>
      <xdr:rowOff>32793</xdr:rowOff>
    </xdr:to>
    <xdr:pic>
      <xdr:nvPicPr>
        <xdr:cNvPr id="2" name="Picture 1" descr="A close-up of a globe&#10;&#10;AI-generated content may be incorrect.">
          <a:extLst>
            <a:ext uri="{FF2B5EF4-FFF2-40B4-BE49-F238E27FC236}">
              <a16:creationId xmlns:a16="http://schemas.microsoft.com/office/drawing/2014/main" id="{126AF8F0-357F-4263-B90F-F77CC8AF3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367" y="250031"/>
          <a:ext cx="1833564" cy="1854450"/>
        </a:xfrm>
        <a:prstGeom prst="rect">
          <a:avLst/>
        </a:prstGeom>
        <a:noFill/>
        <a:ln>
          <a:noFill/>
        </a:ln>
      </xdr:spPr>
    </xdr:pic>
    <xdr:clientData/>
  </xdr:twoCellAnchor>
  <xdr:twoCellAnchor>
    <xdr:from>
      <xdr:col>0</xdr:col>
      <xdr:colOff>190496</xdr:colOff>
      <xdr:row>5</xdr:row>
      <xdr:rowOff>214308</xdr:rowOff>
    </xdr:from>
    <xdr:to>
      <xdr:col>7</xdr:col>
      <xdr:colOff>1357308</xdr:colOff>
      <xdr:row>5</xdr:row>
      <xdr:rowOff>214308</xdr:rowOff>
    </xdr:to>
    <xdr:cxnSp macro="">
      <xdr:nvCxnSpPr>
        <xdr:cNvPr id="3" name="Straight Connector 2">
          <a:extLst>
            <a:ext uri="{FF2B5EF4-FFF2-40B4-BE49-F238E27FC236}">
              <a16:creationId xmlns:a16="http://schemas.microsoft.com/office/drawing/2014/main" id="{AE36E9DC-19A9-4997-BDB0-E394B6E5B1E5}"/>
            </a:ext>
          </a:extLst>
        </xdr:cNvPr>
        <xdr:cNvCxnSpPr>
          <a:cxnSpLocks noChangeShapeType="1"/>
        </xdr:cNvCxnSpPr>
      </xdr:nvCxnSpPr>
      <xdr:spPr bwMode="auto">
        <a:xfrm>
          <a:off x="190496" y="2428871"/>
          <a:ext cx="11525250"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2</xdr:col>
      <xdr:colOff>23813</xdr:colOff>
      <xdr:row>24</xdr:row>
      <xdr:rowOff>142871</xdr:rowOff>
    </xdr:from>
    <xdr:to>
      <xdr:col>4</xdr:col>
      <xdr:colOff>0</xdr:colOff>
      <xdr:row>28</xdr:row>
      <xdr:rowOff>469809</xdr:rowOff>
    </xdr:to>
    <xdr:pic>
      <xdr:nvPicPr>
        <xdr:cNvPr id="4" name="Picture 3" descr="A qr code on a white background&#10;&#10;AI-generated content may be incorrect.">
          <a:extLst>
            <a:ext uri="{FF2B5EF4-FFF2-40B4-BE49-F238E27FC236}">
              <a16:creationId xmlns:a16="http://schemas.microsoft.com/office/drawing/2014/main" id="{10CEF74E-5EC1-4E3C-8740-658B86279CD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520" t="31385" r="25789" b="33978"/>
        <a:stretch>
          <a:fillRect/>
        </a:stretch>
      </xdr:blipFill>
      <xdr:spPr bwMode="auto">
        <a:xfrm>
          <a:off x="4107657" y="10751340"/>
          <a:ext cx="2226468" cy="223193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211929</xdr:colOff>
      <xdr:row>0</xdr:row>
      <xdr:rowOff>250031</xdr:rowOff>
    </xdr:from>
    <xdr:to>
      <xdr:col>1</xdr:col>
      <xdr:colOff>2045493</xdr:colOff>
      <xdr:row>4</xdr:row>
      <xdr:rowOff>32793</xdr:rowOff>
    </xdr:to>
    <xdr:pic>
      <xdr:nvPicPr>
        <xdr:cNvPr id="2" name="Picture 1" descr="A close-up of a globe&#10;&#10;AI-generated content may be incorrect.">
          <a:extLst>
            <a:ext uri="{FF2B5EF4-FFF2-40B4-BE49-F238E27FC236}">
              <a16:creationId xmlns:a16="http://schemas.microsoft.com/office/drawing/2014/main" id="{7FC6663C-E967-4806-A9B4-EA9AE09EF2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9604" y="250031"/>
          <a:ext cx="1833564" cy="1849687"/>
        </a:xfrm>
        <a:prstGeom prst="rect">
          <a:avLst/>
        </a:prstGeom>
        <a:noFill/>
        <a:ln>
          <a:noFill/>
        </a:ln>
      </xdr:spPr>
    </xdr:pic>
    <xdr:clientData/>
  </xdr:twoCellAnchor>
  <xdr:twoCellAnchor>
    <xdr:from>
      <xdr:col>0</xdr:col>
      <xdr:colOff>190496</xdr:colOff>
      <xdr:row>5</xdr:row>
      <xdr:rowOff>214308</xdr:rowOff>
    </xdr:from>
    <xdr:to>
      <xdr:col>7</xdr:col>
      <xdr:colOff>1357308</xdr:colOff>
      <xdr:row>5</xdr:row>
      <xdr:rowOff>214308</xdr:rowOff>
    </xdr:to>
    <xdr:cxnSp macro="">
      <xdr:nvCxnSpPr>
        <xdr:cNvPr id="3" name="Straight Connector 2">
          <a:extLst>
            <a:ext uri="{FF2B5EF4-FFF2-40B4-BE49-F238E27FC236}">
              <a16:creationId xmlns:a16="http://schemas.microsoft.com/office/drawing/2014/main" id="{E73C407B-9BBE-4F77-B6C3-373A49C75E6C}"/>
            </a:ext>
          </a:extLst>
        </xdr:cNvPr>
        <xdr:cNvCxnSpPr>
          <a:cxnSpLocks noChangeShapeType="1"/>
        </xdr:cNvCxnSpPr>
      </xdr:nvCxnSpPr>
      <xdr:spPr bwMode="auto">
        <a:xfrm>
          <a:off x="190496" y="2662233"/>
          <a:ext cx="11530012"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2</xdr:col>
      <xdr:colOff>23813</xdr:colOff>
      <xdr:row>24</xdr:row>
      <xdr:rowOff>142871</xdr:rowOff>
    </xdr:from>
    <xdr:to>
      <xdr:col>4</xdr:col>
      <xdr:colOff>0</xdr:colOff>
      <xdr:row>28</xdr:row>
      <xdr:rowOff>469809</xdr:rowOff>
    </xdr:to>
    <xdr:pic>
      <xdr:nvPicPr>
        <xdr:cNvPr id="4" name="Picture 3" descr="A qr code on a white background&#10;&#10;AI-generated content may be incorrect.">
          <a:extLst>
            <a:ext uri="{FF2B5EF4-FFF2-40B4-BE49-F238E27FC236}">
              <a16:creationId xmlns:a16="http://schemas.microsoft.com/office/drawing/2014/main" id="{415C092E-02AB-4CCB-BB86-D8BAB85868A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520" t="31385" r="25789" b="33978"/>
        <a:stretch>
          <a:fillRect/>
        </a:stretch>
      </xdr:blipFill>
      <xdr:spPr bwMode="auto">
        <a:xfrm>
          <a:off x="4100513" y="10982321"/>
          <a:ext cx="2224087" cy="223193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556188</xdr:colOff>
      <xdr:row>1</xdr:row>
      <xdr:rowOff>198120</xdr:rowOff>
    </xdr:to>
    <xdr:pic>
      <xdr:nvPicPr>
        <xdr:cNvPr id="2" name="Picture 1">
          <a:extLst>
            <a:ext uri="{FF2B5EF4-FFF2-40B4-BE49-F238E27FC236}">
              <a16:creationId xmlns:a16="http://schemas.microsoft.com/office/drawing/2014/main" id="{6EC4DBC6-A2A6-43BE-9A11-9E1E63B9A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7288" cy="6324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905933</xdr:colOff>
      <xdr:row>1</xdr:row>
      <xdr:rowOff>259526</xdr:rowOff>
    </xdr:to>
    <xdr:pic>
      <xdr:nvPicPr>
        <xdr:cNvPr id="3" name="Picture 2">
          <a:extLst>
            <a:ext uri="{FF2B5EF4-FFF2-40B4-BE49-F238E27FC236}">
              <a16:creationId xmlns:a16="http://schemas.microsoft.com/office/drawing/2014/main" id="{BCECD7D6-295F-4FC2-8A37-0E31F0319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769533" cy="640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BBBA-40C1-4E38-9886-E49D48F86CC2}">
  <sheetPr>
    <tabColor rgb="FF7030A0"/>
  </sheetPr>
  <dimension ref="A1:H33"/>
  <sheetViews>
    <sheetView tabSelected="1" zoomScale="160" zoomScaleNormal="160" workbookViewId="0">
      <selection activeCell="G28" sqref="G28:H28"/>
    </sheetView>
  </sheetViews>
  <sheetFormatPr defaultRowHeight="11.25"/>
  <cols>
    <col min="1" max="1" width="2.42578125" style="362" customWidth="1"/>
    <col min="2" max="2" width="16" style="362" customWidth="1"/>
    <col min="3" max="3" width="8" style="362" customWidth="1"/>
    <col min="4" max="4" width="8.140625" style="362" customWidth="1"/>
    <col min="5" max="5" width="6.42578125" style="362" customWidth="1"/>
    <col min="6" max="6" width="8.5703125" style="362" customWidth="1"/>
    <col min="7" max="7" width="8" style="362" customWidth="1"/>
    <col min="8" max="8" width="10.7109375" style="362" customWidth="1"/>
    <col min="9" max="16384" width="9.140625" style="362"/>
  </cols>
  <sheetData>
    <row r="1" spans="1:8" ht="19.5">
      <c r="A1" s="415" t="s">
        <v>156</v>
      </c>
      <c r="B1" s="415"/>
      <c r="C1" s="415"/>
      <c r="D1" s="415"/>
      <c r="E1" s="415"/>
      <c r="F1" s="415"/>
      <c r="G1" s="415"/>
      <c r="H1" s="415"/>
    </row>
    <row r="2" spans="1:8" ht="21">
      <c r="A2" s="416" t="s">
        <v>141</v>
      </c>
      <c r="B2" s="416"/>
      <c r="C2" s="416"/>
      <c r="D2" s="416"/>
      <c r="E2" s="416"/>
      <c r="F2" s="416"/>
      <c r="G2" s="416"/>
      <c r="H2" s="416"/>
    </row>
    <row r="3" spans="1:8" ht="33" customHeight="1">
      <c r="A3" s="417" t="s">
        <v>228</v>
      </c>
      <c r="B3" s="418"/>
      <c r="C3" s="418"/>
      <c r="D3" s="418"/>
      <c r="E3" s="418"/>
      <c r="F3" s="418"/>
      <c r="G3" s="418"/>
      <c r="H3" s="418"/>
    </row>
    <row r="4" spans="1:8" ht="18" customHeight="1">
      <c r="A4" s="419" t="s">
        <v>205</v>
      </c>
      <c r="B4" s="419"/>
      <c r="C4" s="419"/>
      <c r="D4" s="419"/>
      <c r="E4" s="419"/>
      <c r="F4" s="419"/>
      <c r="G4" s="419"/>
      <c r="H4" s="419"/>
    </row>
    <row r="5" spans="1:8" ht="26.25" customHeight="1">
      <c r="A5" s="365"/>
      <c r="B5" s="364"/>
      <c r="C5" s="364"/>
      <c r="D5" s="364"/>
      <c r="E5" s="364"/>
      <c r="F5" s="364"/>
      <c r="G5" s="364"/>
      <c r="H5" s="364"/>
    </row>
    <row r="6" spans="1:8" ht="15.75" customHeight="1">
      <c r="A6" s="363" t="s">
        <v>159</v>
      </c>
      <c r="B6" s="363"/>
      <c r="C6" s="363"/>
      <c r="D6" s="363"/>
      <c r="E6" s="363"/>
      <c r="F6" s="363"/>
      <c r="G6" s="363"/>
      <c r="H6" s="363"/>
    </row>
    <row r="7" spans="1:8" ht="15.75" customHeight="1">
      <c r="A7" s="363"/>
      <c r="B7" s="404" t="s">
        <v>204</v>
      </c>
      <c r="C7" s="404"/>
      <c r="D7" s="404"/>
      <c r="E7" s="404"/>
      <c r="F7" s="404"/>
      <c r="G7" s="398" t="s">
        <v>163</v>
      </c>
      <c r="H7" s="399" t="s">
        <v>203</v>
      </c>
    </row>
    <row r="8" spans="1:8" ht="15.75" customHeight="1">
      <c r="A8" s="363" t="s">
        <v>161</v>
      </c>
      <c r="B8" s="363"/>
      <c r="C8" s="363"/>
      <c r="D8" s="363"/>
      <c r="E8" s="363"/>
      <c r="F8" s="363"/>
      <c r="G8" s="386"/>
      <c r="H8" s="386"/>
    </row>
    <row r="9" spans="1:8" ht="15.75" customHeight="1">
      <c r="A9" s="363"/>
      <c r="B9" s="404" t="s">
        <v>213</v>
      </c>
      <c r="C9" s="404"/>
      <c r="D9" s="404"/>
      <c r="E9" s="404"/>
      <c r="F9" s="404"/>
      <c r="G9" s="400" t="s">
        <v>4</v>
      </c>
      <c r="H9" s="401">
        <v>45956</v>
      </c>
    </row>
    <row r="10" spans="1:8" ht="15.75" customHeight="1">
      <c r="A10" s="363" t="s">
        <v>162</v>
      </c>
      <c r="B10" s="363"/>
      <c r="C10" s="363"/>
      <c r="D10" s="363"/>
      <c r="E10" s="363"/>
      <c r="F10" s="363"/>
      <c r="G10" s="363"/>
      <c r="H10" s="363"/>
    </row>
    <row r="11" spans="1:8" ht="15.75" customHeight="1">
      <c r="A11" s="363"/>
      <c r="B11" s="404" t="s">
        <v>220</v>
      </c>
      <c r="C11" s="404"/>
      <c r="D11" s="404"/>
      <c r="E11" s="404"/>
      <c r="F11" s="404"/>
      <c r="G11" s="363"/>
      <c r="H11" s="363"/>
    </row>
    <row r="12" spans="1:8" ht="15.75" customHeight="1" thickBot="1">
      <c r="A12" s="396" t="s">
        <v>164</v>
      </c>
      <c r="B12" s="396" t="s">
        <v>165</v>
      </c>
      <c r="C12" s="396" t="s">
        <v>219</v>
      </c>
      <c r="D12" s="396" t="s">
        <v>196</v>
      </c>
      <c r="E12" s="396" t="s">
        <v>167</v>
      </c>
      <c r="F12" s="397" t="s">
        <v>168</v>
      </c>
      <c r="G12" s="397" t="s">
        <v>169</v>
      </c>
      <c r="H12" s="397" t="s">
        <v>54</v>
      </c>
    </row>
    <row r="13" spans="1:8" ht="16.5">
      <c r="A13" s="371">
        <v>1</v>
      </c>
      <c r="B13" s="372"/>
      <c r="C13" s="373"/>
      <c r="D13" s="374"/>
      <c r="E13" s="374"/>
      <c r="F13" s="375"/>
      <c r="G13" s="376"/>
      <c r="H13" s="376"/>
    </row>
    <row r="14" spans="1:8" ht="16.5">
      <c r="A14" s="374">
        <v>2</v>
      </c>
      <c r="B14" s="372"/>
      <c r="C14" s="373"/>
      <c r="D14" s="374"/>
      <c r="E14" s="374"/>
      <c r="F14" s="375"/>
      <c r="G14" s="376"/>
      <c r="H14" s="376"/>
    </row>
    <row r="15" spans="1:8" ht="16.5">
      <c r="A15" s="374">
        <v>3</v>
      </c>
      <c r="B15" s="372"/>
      <c r="C15" s="373"/>
      <c r="D15" s="374"/>
      <c r="E15" s="374"/>
      <c r="F15" s="375"/>
      <c r="G15" s="376"/>
      <c r="H15" s="376"/>
    </row>
    <row r="16" spans="1:8" ht="16.5">
      <c r="A16" s="374">
        <v>4</v>
      </c>
      <c r="B16" s="372"/>
      <c r="C16" s="373"/>
      <c r="D16" s="374"/>
      <c r="E16" s="374"/>
      <c r="F16" s="375"/>
      <c r="G16" s="376"/>
      <c r="H16" s="376"/>
    </row>
    <row r="17" spans="1:8" ht="16.5">
      <c r="A17" s="374">
        <v>5</v>
      </c>
      <c r="B17" s="372"/>
      <c r="C17" s="373"/>
      <c r="D17" s="374"/>
      <c r="E17" s="374"/>
      <c r="F17" s="375"/>
      <c r="G17" s="376"/>
      <c r="H17" s="376"/>
    </row>
    <row r="18" spans="1:8" ht="16.5">
      <c r="A18" s="374">
        <v>6</v>
      </c>
      <c r="B18" s="372"/>
      <c r="C18" s="373"/>
      <c r="D18" s="374"/>
      <c r="E18" s="374"/>
      <c r="F18" s="375"/>
      <c r="G18" s="376"/>
      <c r="H18" s="376"/>
    </row>
    <row r="19" spans="1:8" ht="16.5">
      <c r="A19" s="374">
        <v>7</v>
      </c>
      <c r="B19" s="372"/>
      <c r="C19" s="373"/>
      <c r="D19" s="374"/>
      <c r="E19" s="374"/>
      <c r="F19" s="375"/>
      <c r="G19" s="376"/>
      <c r="H19" s="376"/>
    </row>
    <row r="20" spans="1:8" ht="16.5">
      <c r="A20" s="374">
        <v>8</v>
      </c>
      <c r="B20" s="372"/>
      <c r="C20" s="373"/>
      <c r="D20" s="374"/>
      <c r="E20" s="374"/>
      <c r="F20" s="375"/>
      <c r="G20" s="376"/>
      <c r="H20" s="376"/>
    </row>
    <row r="21" spans="1:8" ht="16.5">
      <c r="A21" s="374">
        <v>9</v>
      </c>
      <c r="B21" s="372"/>
      <c r="C21" s="373"/>
      <c r="D21" s="374"/>
      <c r="E21" s="374"/>
      <c r="F21" s="375"/>
      <c r="G21" s="376"/>
      <c r="H21" s="376"/>
    </row>
    <row r="22" spans="1:8" ht="16.5">
      <c r="A22" s="374">
        <v>10</v>
      </c>
      <c r="B22" s="372"/>
      <c r="C22" s="373"/>
      <c r="D22" s="374"/>
      <c r="E22" s="374"/>
      <c r="F22" s="375"/>
      <c r="G22" s="376"/>
      <c r="H22" s="376"/>
    </row>
    <row r="23" spans="1:8" ht="16.5">
      <c r="A23" s="374">
        <v>11</v>
      </c>
      <c r="B23" s="372"/>
      <c r="C23" s="373"/>
      <c r="D23" s="374"/>
      <c r="E23" s="374"/>
      <c r="F23" s="375"/>
      <c r="G23" s="376"/>
      <c r="H23" s="376"/>
    </row>
    <row r="24" spans="1:8" ht="16.5">
      <c r="A24" s="377">
        <v>11</v>
      </c>
      <c r="B24" s="378"/>
      <c r="C24" s="379"/>
      <c r="D24" s="377"/>
      <c r="E24" s="377"/>
      <c r="F24" s="380"/>
      <c r="G24" s="381"/>
      <c r="H24" s="376"/>
    </row>
    <row r="25" spans="1:8" ht="16.5">
      <c r="A25" s="363"/>
      <c r="B25" s="369" t="s">
        <v>198</v>
      </c>
      <c r="C25" s="363"/>
      <c r="D25" s="363"/>
      <c r="E25" s="410" t="s">
        <v>222</v>
      </c>
      <c r="F25" s="410"/>
      <c r="G25" s="405">
        <f>SUM(H13:H24)</f>
        <v>0</v>
      </c>
      <c r="H25" s="406"/>
    </row>
    <row r="26" spans="1:8" ht="16.5" customHeight="1">
      <c r="A26" s="363"/>
      <c r="B26" s="367" t="s">
        <v>199</v>
      </c>
      <c r="C26" s="363"/>
      <c r="D26" s="363"/>
      <c r="E26" s="410" t="s">
        <v>223</v>
      </c>
      <c r="F26" s="410"/>
      <c r="G26" s="405">
        <f>G25*0.1</f>
        <v>0</v>
      </c>
      <c r="H26" s="406"/>
    </row>
    <row r="27" spans="1:8" ht="16.5" customHeight="1">
      <c r="A27" s="363"/>
      <c r="B27" s="403" t="s">
        <v>221</v>
      </c>
      <c r="C27" s="363"/>
      <c r="D27" s="410" t="s">
        <v>224</v>
      </c>
      <c r="E27" s="410"/>
      <c r="F27" s="410"/>
      <c r="G27" s="413">
        <f>G25+G26</f>
        <v>0</v>
      </c>
      <c r="H27" s="414"/>
    </row>
    <row r="28" spans="1:8" ht="16.5" customHeight="1">
      <c r="A28" s="363"/>
      <c r="B28" s="403"/>
      <c r="C28" s="363"/>
      <c r="D28" s="410" t="s">
        <v>225</v>
      </c>
      <c r="E28" s="410"/>
      <c r="F28" s="410"/>
      <c r="G28" s="411"/>
      <c r="H28" s="412"/>
    </row>
    <row r="29" spans="1:8" ht="16.5" customHeight="1">
      <c r="A29" s="363"/>
      <c r="B29" s="367" t="s">
        <v>201</v>
      </c>
      <c r="C29" s="363"/>
      <c r="D29" s="410" t="s">
        <v>226</v>
      </c>
      <c r="E29" s="410"/>
      <c r="F29" s="410"/>
      <c r="G29" s="408">
        <f>G27*G28</f>
        <v>0</v>
      </c>
      <c r="H29" s="409"/>
    </row>
    <row r="30" spans="1:8" ht="16.5">
      <c r="A30" s="363"/>
      <c r="B30" s="363"/>
      <c r="C30" s="363"/>
      <c r="D30" s="363"/>
      <c r="E30" s="363"/>
      <c r="F30" s="363"/>
      <c r="G30" s="363"/>
      <c r="H30" s="363"/>
    </row>
    <row r="31" spans="1:8" ht="16.5">
      <c r="A31" s="363"/>
      <c r="B31" s="363"/>
      <c r="C31" s="363"/>
      <c r="D31" s="363"/>
      <c r="E31" s="363"/>
      <c r="F31" s="363"/>
      <c r="G31" s="363"/>
      <c r="H31" s="363"/>
    </row>
    <row r="32" spans="1:8" ht="16.5">
      <c r="A32" s="363"/>
      <c r="B32" s="407" t="s">
        <v>206</v>
      </c>
      <c r="C32" s="407"/>
      <c r="D32" s="363"/>
      <c r="E32" s="363"/>
      <c r="F32" s="407" t="s">
        <v>207</v>
      </c>
      <c r="G32" s="407"/>
      <c r="H32" s="407"/>
    </row>
    <row r="33" spans="1:8" ht="16.5">
      <c r="A33" s="363"/>
      <c r="B33" s="402" t="s">
        <v>4</v>
      </c>
      <c r="C33" s="402"/>
      <c r="D33" s="363"/>
      <c r="E33" s="363"/>
      <c r="F33" s="402" t="s">
        <v>4</v>
      </c>
      <c r="G33" s="402"/>
      <c r="H33" s="402"/>
    </row>
  </sheetData>
  <mergeCells count="22">
    <mergeCell ref="G27:H27"/>
    <mergeCell ref="A1:H1"/>
    <mergeCell ref="A2:H2"/>
    <mergeCell ref="A3:H3"/>
    <mergeCell ref="A4:H4"/>
    <mergeCell ref="B7:F7"/>
    <mergeCell ref="B33:C33"/>
    <mergeCell ref="F33:H33"/>
    <mergeCell ref="B27:B28"/>
    <mergeCell ref="B9:F9"/>
    <mergeCell ref="B11:F11"/>
    <mergeCell ref="G25:H25"/>
    <mergeCell ref="G26:H26"/>
    <mergeCell ref="B32:C32"/>
    <mergeCell ref="F32:H32"/>
    <mergeCell ref="G29:H29"/>
    <mergeCell ref="E26:F26"/>
    <mergeCell ref="E25:F25"/>
    <mergeCell ref="D27:F27"/>
    <mergeCell ref="D28:F28"/>
    <mergeCell ref="D29:F29"/>
    <mergeCell ref="G28:H28"/>
  </mergeCells>
  <phoneticPr fontId="41" type="noConversion"/>
  <dataValidations count="2">
    <dataValidation type="list" allowBlank="1" showInputMessage="1" showErrorMessage="1" sqref="D13:D24" xr:uid="{49998304-7D90-4106-86B6-71A84044270F}">
      <formula1>"BOX,FL"</formula1>
    </dataValidation>
    <dataValidation type="list" allowBlank="1" showInputMessage="1" showErrorMessage="1" sqref="B7:F7 B13:B24 B11:F11 B9:F9" xr:uid="{4FB7CB11-E1C7-4EE5-A2DC-88AE63935847}">
      <formula1>#REF!</formula1>
    </dataValidation>
  </dataValidations>
  <pageMargins left="0.19685039370078741" right="0.19685039370078741" top="0.19685039370078741" bottom="0.19685039370078741" header="0.31496062992125984" footer="0.31496062992125984"/>
  <pageSetup paperSize="1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CAC70-CCD0-4DF4-B1E3-A67B6E8DD9CE}">
  <sheetPr>
    <tabColor rgb="FF7030A0"/>
  </sheetPr>
  <dimension ref="A1:O47"/>
  <sheetViews>
    <sheetView topLeftCell="A13" zoomScale="150" zoomScaleNormal="150" workbookViewId="0">
      <selection activeCell="F30" sqref="F30"/>
    </sheetView>
  </sheetViews>
  <sheetFormatPr defaultRowHeight="11.25"/>
  <cols>
    <col min="1" max="1" width="2.42578125" style="362" customWidth="1"/>
    <col min="2" max="2" width="16" style="362" customWidth="1"/>
    <col min="3" max="3" width="8" style="362" customWidth="1"/>
    <col min="4" max="4" width="8.140625" style="362" customWidth="1"/>
    <col min="5" max="5" width="6.42578125" style="362" customWidth="1"/>
    <col min="6" max="6" width="8.28515625" style="362" customWidth="1"/>
    <col min="7" max="7" width="8.140625" style="362" customWidth="1"/>
    <col min="8" max="8" width="9.7109375" style="362" customWidth="1"/>
    <col min="9" max="9" width="9.140625" style="362"/>
    <col min="10" max="10" width="24" style="362" customWidth="1"/>
    <col min="11" max="11" width="13" style="362" customWidth="1"/>
    <col min="12" max="12" width="9.140625" style="362"/>
    <col min="13" max="13" width="1.7109375" style="387" customWidth="1"/>
    <col min="14" max="14" width="15.28515625" style="362" customWidth="1"/>
    <col min="15" max="15" width="9.140625" style="390"/>
    <col min="16" max="16384" width="9.140625" style="362"/>
  </cols>
  <sheetData>
    <row r="1" spans="1:15" ht="19.5">
      <c r="A1" s="415" t="s">
        <v>156</v>
      </c>
      <c r="B1" s="415"/>
      <c r="C1" s="415"/>
      <c r="D1" s="415"/>
      <c r="E1" s="415"/>
      <c r="F1" s="415"/>
      <c r="G1" s="415"/>
      <c r="H1" s="415"/>
    </row>
    <row r="2" spans="1:15" ht="21">
      <c r="A2" s="416" t="s">
        <v>141</v>
      </c>
      <c r="B2" s="416"/>
      <c r="C2" s="416"/>
      <c r="D2" s="416"/>
      <c r="E2" s="416"/>
      <c r="F2" s="416"/>
      <c r="G2" s="416"/>
      <c r="H2" s="416"/>
    </row>
    <row r="3" spans="1:15" ht="33" customHeight="1">
      <c r="A3" s="417" t="s">
        <v>228</v>
      </c>
      <c r="B3" s="418"/>
      <c r="C3" s="418"/>
      <c r="D3" s="418"/>
      <c r="E3" s="418"/>
      <c r="F3" s="418"/>
      <c r="G3" s="418"/>
      <c r="H3" s="418"/>
    </row>
    <row r="4" spans="1:15" ht="16.5" customHeight="1">
      <c r="A4" s="419" t="s">
        <v>205</v>
      </c>
      <c r="B4" s="419"/>
      <c r="C4" s="419"/>
      <c r="D4" s="419"/>
      <c r="E4" s="419"/>
      <c r="F4" s="419"/>
      <c r="G4" s="419"/>
      <c r="H4" s="419"/>
    </row>
    <row r="5" spans="1:15" ht="26.25" customHeight="1">
      <c r="A5" s="365"/>
      <c r="B5" s="364"/>
      <c r="C5" s="364"/>
      <c r="D5" s="364"/>
      <c r="E5" s="364"/>
      <c r="F5" s="364"/>
      <c r="G5" s="364"/>
      <c r="H5" s="364"/>
    </row>
    <row r="6" spans="1:15" ht="16.5">
      <c r="A6" s="363" t="s">
        <v>159</v>
      </c>
      <c r="B6" s="363"/>
      <c r="C6" s="363"/>
      <c r="D6" s="363"/>
      <c r="E6" s="363"/>
      <c r="F6" s="363"/>
      <c r="G6" s="363"/>
      <c r="H6" s="363"/>
      <c r="J6" s="393" t="s">
        <v>170</v>
      </c>
      <c r="K6" s="393" t="s">
        <v>171</v>
      </c>
      <c r="L6" s="393" t="s">
        <v>172</v>
      </c>
      <c r="M6" s="394"/>
      <c r="N6" s="393" t="s">
        <v>173</v>
      </c>
      <c r="O6" s="395" t="s">
        <v>202</v>
      </c>
    </row>
    <row r="7" spans="1:15" ht="16.5">
      <c r="A7" s="363"/>
      <c r="B7" s="404" t="s">
        <v>204</v>
      </c>
      <c r="C7" s="404"/>
      <c r="D7" s="404"/>
      <c r="E7" s="404"/>
      <c r="F7" s="404"/>
      <c r="G7" s="363" t="s">
        <v>163</v>
      </c>
      <c r="H7" s="382" t="s">
        <v>203</v>
      </c>
      <c r="J7" s="389" t="s">
        <v>204</v>
      </c>
      <c r="K7" s="389"/>
      <c r="L7" s="389"/>
      <c r="M7" s="388"/>
      <c r="N7" s="389" t="s">
        <v>174</v>
      </c>
      <c r="O7" s="391">
        <v>5</v>
      </c>
    </row>
    <row r="8" spans="1:15" ht="16.5">
      <c r="A8" s="363" t="s">
        <v>161</v>
      </c>
      <c r="B8" s="363"/>
      <c r="C8" s="363"/>
      <c r="D8" s="363"/>
      <c r="E8" s="363"/>
      <c r="F8" s="363"/>
      <c r="G8" s="363"/>
      <c r="H8" s="363"/>
      <c r="J8" s="389" t="s">
        <v>160</v>
      </c>
      <c r="K8" s="389"/>
      <c r="L8" s="389"/>
      <c r="M8" s="388"/>
      <c r="N8" s="389" t="s">
        <v>175</v>
      </c>
      <c r="O8" s="391">
        <v>3.5</v>
      </c>
    </row>
    <row r="9" spans="1:15" ht="16.5">
      <c r="A9" s="363"/>
      <c r="B9" s="404" t="s">
        <v>213</v>
      </c>
      <c r="C9" s="404"/>
      <c r="D9" s="404"/>
      <c r="E9" s="404"/>
      <c r="F9" s="404"/>
      <c r="G9" s="366" t="s">
        <v>4</v>
      </c>
      <c r="H9" s="383">
        <v>45956</v>
      </c>
      <c r="J9" s="389"/>
      <c r="K9" s="389"/>
      <c r="L9" s="389"/>
      <c r="M9" s="388"/>
      <c r="N9" s="389" t="s">
        <v>176</v>
      </c>
      <c r="O9" s="391">
        <v>2</v>
      </c>
    </row>
    <row r="10" spans="1:15" ht="16.5">
      <c r="A10" s="363" t="s">
        <v>162</v>
      </c>
      <c r="B10" s="363"/>
      <c r="C10" s="363"/>
      <c r="D10" s="363"/>
      <c r="E10" s="363"/>
      <c r="F10" s="363"/>
      <c r="G10" s="363"/>
      <c r="H10" s="363"/>
      <c r="J10" s="389"/>
      <c r="K10" s="389"/>
      <c r="L10" s="389"/>
      <c r="M10" s="388"/>
      <c r="N10" s="389" t="s">
        <v>177</v>
      </c>
      <c r="O10" s="391">
        <v>6</v>
      </c>
    </row>
    <row r="11" spans="1:15" ht="16.5">
      <c r="A11" s="363"/>
      <c r="B11" s="404" t="s">
        <v>220</v>
      </c>
      <c r="C11" s="404"/>
      <c r="D11" s="404"/>
      <c r="E11" s="404"/>
      <c r="F11" s="404"/>
      <c r="G11" s="363"/>
      <c r="H11" s="363"/>
      <c r="J11" s="389"/>
      <c r="K11" s="389"/>
      <c r="L11" s="389"/>
      <c r="M11" s="388"/>
      <c r="N11" s="389" t="s">
        <v>178</v>
      </c>
      <c r="O11" s="391">
        <v>2</v>
      </c>
    </row>
    <row r="12" spans="1:15" ht="17.25" thickBot="1">
      <c r="A12" s="384" t="s">
        <v>164</v>
      </c>
      <c r="B12" s="384" t="s">
        <v>165</v>
      </c>
      <c r="C12" s="384" t="s">
        <v>219</v>
      </c>
      <c r="D12" s="384" t="s">
        <v>196</v>
      </c>
      <c r="E12" s="384" t="s">
        <v>167</v>
      </c>
      <c r="F12" s="385" t="s">
        <v>168</v>
      </c>
      <c r="G12" s="385" t="s">
        <v>169</v>
      </c>
      <c r="H12" s="385" t="s">
        <v>54</v>
      </c>
      <c r="J12" s="389"/>
      <c r="K12" s="389"/>
      <c r="L12" s="389"/>
      <c r="M12" s="388"/>
      <c r="N12" s="389" t="s">
        <v>179</v>
      </c>
      <c r="O12" s="391">
        <v>5</v>
      </c>
    </row>
    <row r="13" spans="1:15" ht="16.5">
      <c r="A13" s="371">
        <v>1</v>
      </c>
      <c r="B13" s="372" t="s">
        <v>179</v>
      </c>
      <c r="C13" s="373">
        <v>46357</v>
      </c>
      <c r="D13" s="374" t="s">
        <v>227</v>
      </c>
      <c r="E13" s="374">
        <v>1000</v>
      </c>
      <c r="F13" s="375">
        <v>5</v>
      </c>
      <c r="G13" s="376">
        <v>2</v>
      </c>
      <c r="H13" s="376">
        <f>(F13-G13)*E13</f>
        <v>3000</v>
      </c>
      <c r="J13" s="389"/>
      <c r="K13" s="389"/>
      <c r="L13" s="389"/>
      <c r="M13" s="388"/>
      <c r="N13" s="389" t="s">
        <v>180</v>
      </c>
      <c r="O13" s="391"/>
    </row>
    <row r="14" spans="1:15" ht="16.5">
      <c r="A14" s="374">
        <v>2</v>
      </c>
      <c r="B14" s="372"/>
      <c r="C14" s="373"/>
      <c r="D14" s="374"/>
      <c r="E14" s="374"/>
      <c r="F14" s="375"/>
      <c r="G14" s="376"/>
      <c r="H14" s="376">
        <f t="shared" ref="H14:H21" si="0">(F14-G14)*E14</f>
        <v>0</v>
      </c>
      <c r="J14" s="389"/>
      <c r="K14" s="389"/>
      <c r="L14" s="389"/>
      <c r="M14" s="388"/>
      <c r="N14" s="389" t="s">
        <v>181</v>
      </c>
      <c r="O14" s="391"/>
    </row>
    <row r="15" spans="1:15" ht="16.5">
      <c r="A15" s="374">
        <v>3</v>
      </c>
      <c r="B15" s="372"/>
      <c r="C15" s="373"/>
      <c r="D15" s="374"/>
      <c r="E15" s="374"/>
      <c r="F15" s="375"/>
      <c r="G15" s="376"/>
      <c r="H15" s="376">
        <f t="shared" si="0"/>
        <v>0</v>
      </c>
      <c r="J15" s="389"/>
      <c r="K15" s="389"/>
      <c r="L15" s="389"/>
      <c r="M15" s="388"/>
      <c r="N15" s="389" t="s">
        <v>182</v>
      </c>
      <c r="O15" s="391"/>
    </row>
    <row r="16" spans="1:15" ht="16.5">
      <c r="A16" s="374">
        <v>4</v>
      </c>
      <c r="B16" s="372"/>
      <c r="C16" s="373"/>
      <c r="D16" s="374"/>
      <c r="E16" s="374"/>
      <c r="F16" s="375"/>
      <c r="G16" s="376"/>
      <c r="H16" s="376">
        <f t="shared" si="0"/>
        <v>0</v>
      </c>
      <c r="J16" s="389"/>
      <c r="K16" s="389"/>
      <c r="L16" s="389"/>
      <c r="M16" s="388"/>
      <c r="N16" s="389" t="s">
        <v>182</v>
      </c>
      <c r="O16" s="391"/>
    </row>
    <row r="17" spans="1:15" ht="16.5">
      <c r="A17" s="374">
        <v>5</v>
      </c>
      <c r="B17" s="372"/>
      <c r="C17" s="373"/>
      <c r="D17" s="374"/>
      <c r="E17" s="374"/>
      <c r="F17" s="375"/>
      <c r="G17" s="376"/>
      <c r="H17" s="376">
        <f t="shared" si="0"/>
        <v>0</v>
      </c>
      <c r="J17" s="389"/>
      <c r="K17" s="389"/>
      <c r="L17" s="389"/>
      <c r="M17" s="388"/>
      <c r="N17" s="389" t="s">
        <v>183</v>
      </c>
      <c r="O17" s="391"/>
    </row>
    <row r="18" spans="1:15" ht="16.5">
      <c r="A18" s="374">
        <v>6</v>
      </c>
      <c r="B18" s="372"/>
      <c r="C18" s="373"/>
      <c r="D18" s="374"/>
      <c r="E18" s="374"/>
      <c r="F18" s="375"/>
      <c r="G18" s="376"/>
      <c r="H18" s="376">
        <f t="shared" si="0"/>
        <v>0</v>
      </c>
      <c r="J18" s="389"/>
      <c r="K18" s="389"/>
      <c r="L18" s="389"/>
      <c r="M18" s="388"/>
      <c r="N18" s="389" t="s">
        <v>184</v>
      </c>
      <c r="O18" s="391"/>
    </row>
    <row r="19" spans="1:15" ht="16.5">
      <c r="A19" s="374">
        <v>7</v>
      </c>
      <c r="B19" s="372"/>
      <c r="C19" s="373"/>
      <c r="D19" s="374"/>
      <c r="E19" s="374"/>
      <c r="F19" s="375"/>
      <c r="G19" s="376"/>
      <c r="H19" s="376">
        <f t="shared" si="0"/>
        <v>0</v>
      </c>
      <c r="J19" s="389"/>
      <c r="K19" s="389"/>
      <c r="L19" s="389"/>
      <c r="M19" s="388"/>
      <c r="N19" s="389" t="s">
        <v>185</v>
      </c>
      <c r="O19" s="391"/>
    </row>
    <row r="20" spans="1:15" ht="16.5">
      <c r="A20" s="374">
        <v>8</v>
      </c>
      <c r="B20" s="372"/>
      <c r="C20" s="373"/>
      <c r="D20" s="374"/>
      <c r="E20" s="374"/>
      <c r="F20" s="375"/>
      <c r="G20" s="376"/>
      <c r="H20" s="376">
        <f t="shared" si="0"/>
        <v>0</v>
      </c>
      <c r="J20" s="389"/>
      <c r="K20" s="389"/>
      <c r="L20" s="389"/>
      <c r="M20" s="388"/>
      <c r="N20" s="389" t="s">
        <v>186</v>
      </c>
      <c r="O20" s="391"/>
    </row>
    <row r="21" spans="1:15" ht="16.5">
      <c r="A21" s="377">
        <v>9</v>
      </c>
      <c r="B21" s="378"/>
      <c r="C21" s="379"/>
      <c r="D21" s="377"/>
      <c r="E21" s="377"/>
      <c r="F21" s="380"/>
      <c r="G21" s="381"/>
      <c r="H21" s="376">
        <f t="shared" si="0"/>
        <v>0</v>
      </c>
      <c r="J21" s="389"/>
      <c r="K21" s="389"/>
      <c r="L21" s="389"/>
      <c r="M21" s="388"/>
      <c r="N21" s="389" t="s">
        <v>187</v>
      </c>
      <c r="O21" s="391"/>
    </row>
    <row r="22" spans="1:15" ht="16.5">
      <c r="A22" s="363"/>
      <c r="B22" s="369" t="s">
        <v>198</v>
      </c>
      <c r="C22" s="363"/>
      <c r="D22" s="363"/>
      <c r="E22" s="410" t="s">
        <v>222</v>
      </c>
      <c r="F22" s="410"/>
      <c r="G22" s="413">
        <f>SUM(H13:H21)</f>
        <v>3000</v>
      </c>
      <c r="H22" s="414"/>
      <c r="J22" s="389"/>
      <c r="K22" s="389"/>
      <c r="L22" s="389"/>
      <c r="M22" s="388"/>
      <c r="N22" s="389" t="s">
        <v>188</v>
      </c>
      <c r="O22" s="391"/>
    </row>
    <row r="23" spans="1:15" ht="16.5">
      <c r="A23" s="363"/>
      <c r="B23" s="367" t="s">
        <v>199</v>
      </c>
      <c r="C23" s="363"/>
      <c r="D23" s="410" t="s">
        <v>225</v>
      </c>
      <c r="E23" s="410"/>
      <c r="F23" s="421"/>
      <c r="G23" s="411">
        <v>4060</v>
      </c>
      <c r="H23" s="412"/>
      <c r="J23" s="389"/>
      <c r="K23" s="389"/>
      <c r="L23" s="389"/>
      <c r="M23" s="388"/>
      <c r="N23" s="389" t="s">
        <v>187</v>
      </c>
      <c r="O23" s="391"/>
    </row>
    <row r="24" spans="1:15" ht="24.75">
      <c r="A24" s="363"/>
      <c r="B24" s="368" t="s">
        <v>221</v>
      </c>
      <c r="C24" s="363"/>
      <c r="D24" s="410" t="s">
        <v>226</v>
      </c>
      <c r="E24" s="410"/>
      <c r="F24" s="421"/>
      <c r="G24" s="408">
        <f>G23*G22</f>
        <v>12180000</v>
      </c>
      <c r="H24" s="409"/>
      <c r="J24" s="389"/>
      <c r="K24" s="389"/>
      <c r="L24" s="389"/>
      <c r="M24" s="388"/>
      <c r="N24" s="389" t="s">
        <v>189</v>
      </c>
      <c r="O24" s="391"/>
    </row>
    <row r="25" spans="1:15" ht="16.5">
      <c r="A25" s="363"/>
      <c r="B25" s="367" t="s">
        <v>201</v>
      </c>
      <c r="C25" s="363"/>
      <c r="D25" s="410"/>
      <c r="E25" s="410"/>
      <c r="F25" s="410"/>
      <c r="G25" s="420"/>
      <c r="H25" s="420"/>
      <c r="J25" s="389"/>
      <c r="K25" s="389"/>
      <c r="L25" s="389"/>
      <c r="M25" s="388"/>
      <c r="N25" s="389"/>
      <c r="O25" s="391"/>
    </row>
    <row r="26" spans="1:15" ht="16.5">
      <c r="A26" s="363"/>
      <c r="B26" s="363"/>
      <c r="C26" s="363"/>
      <c r="D26" s="363"/>
      <c r="E26" s="363"/>
      <c r="F26" s="363"/>
      <c r="G26" s="363"/>
      <c r="H26" s="363"/>
      <c r="J26" s="389"/>
      <c r="K26" s="389"/>
      <c r="L26" s="389"/>
      <c r="M26" s="388"/>
      <c r="N26" s="389"/>
      <c r="O26" s="391"/>
    </row>
    <row r="27" spans="1:15" ht="16.5">
      <c r="A27" s="363"/>
      <c r="B27" s="363"/>
      <c r="C27" s="363"/>
      <c r="D27" s="363"/>
      <c r="E27" s="363"/>
      <c r="F27" s="363"/>
      <c r="G27" s="363"/>
      <c r="H27" s="363"/>
      <c r="J27" s="389"/>
      <c r="K27" s="389"/>
      <c r="L27" s="389"/>
      <c r="M27" s="388"/>
      <c r="N27" s="389"/>
      <c r="O27" s="391"/>
    </row>
    <row r="28" spans="1:15" ht="16.5">
      <c r="A28" s="363"/>
      <c r="B28" s="363"/>
      <c r="C28" s="363"/>
      <c r="D28" s="363"/>
      <c r="E28" s="363"/>
      <c r="F28" s="363"/>
      <c r="G28" s="363"/>
      <c r="H28" s="363"/>
      <c r="J28" s="389"/>
      <c r="K28" s="389"/>
      <c r="L28" s="389"/>
      <c r="M28" s="388"/>
      <c r="N28" s="389"/>
      <c r="O28" s="391"/>
    </row>
    <row r="29" spans="1:15" ht="16.5">
      <c r="A29" s="363"/>
      <c r="B29" s="363"/>
      <c r="C29" s="363"/>
      <c r="D29" s="363"/>
      <c r="E29" s="363"/>
      <c r="F29" s="363"/>
      <c r="G29" s="363"/>
      <c r="H29" s="363"/>
      <c r="J29" s="389"/>
      <c r="K29" s="389"/>
      <c r="L29" s="389"/>
      <c r="M29" s="388"/>
      <c r="N29" s="389"/>
      <c r="O29" s="391"/>
    </row>
    <row r="30" spans="1:15" ht="16.5">
      <c r="A30" s="363"/>
      <c r="B30" s="363"/>
      <c r="C30" s="363"/>
      <c r="D30" s="363"/>
      <c r="E30" s="363"/>
      <c r="F30" s="363"/>
      <c r="G30" s="363"/>
      <c r="H30" s="363"/>
      <c r="J30" s="389"/>
      <c r="K30" s="389"/>
      <c r="L30" s="389"/>
      <c r="M30" s="388"/>
      <c r="N30" s="389"/>
      <c r="O30" s="391"/>
    </row>
    <row r="31" spans="1:15" ht="16.5">
      <c r="A31" s="363"/>
      <c r="B31" s="407" t="s">
        <v>206</v>
      </c>
      <c r="C31" s="407"/>
      <c r="D31" s="363"/>
      <c r="E31" s="363"/>
      <c r="F31" s="407" t="s">
        <v>207</v>
      </c>
      <c r="G31" s="407"/>
      <c r="H31" s="407"/>
      <c r="J31" s="389"/>
      <c r="K31" s="389"/>
      <c r="L31" s="389"/>
      <c r="M31" s="388"/>
      <c r="N31" s="389"/>
      <c r="O31" s="391"/>
    </row>
    <row r="32" spans="1:15" ht="16.5">
      <c r="A32" s="363"/>
      <c r="B32" s="370" t="s">
        <v>4</v>
      </c>
      <c r="C32" s="370"/>
      <c r="D32" s="363"/>
      <c r="E32" s="363"/>
      <c r="F32" s="370" t="s">
        <v>4</v>
      </c>
      <c r="G32" s="370"/>
      <c r="H32" s="370"/>
      <c r="J32" s="389"/>
      <c r="K32" s="389"/>
      <c r="L32" s="389"/>
      <c r="M32" s="388"/>
      <c r="N32" s="386"/>
      <c r="O32" s="392"/>
    </row>
    <row r="33" spans="10:15">
      <c r="J33" s="389"/>
      <c r="K33" s="389"/>
      <c r="L33" s="389"/>
      <c r="M33" s="388"/>
      <c r="N33" s="386"/>
      <c r="O33" s="392"/>
    </row>
    <row r="34" spans="10:15">
      <c r="J34" s="386"/>
      <c r="K34" s="386"/>
      <c r="L34" s="386"/>
      <c r="M34" s="388"/>
      <c r="N34" s="386"/>
      <c r="O34" s="392"/>
    </row>
    <row r="35" spans="10:15">
      <c r="J35" s="386"/>
      <c r="K35" s="386"/>
      <c r="L35" s="386"/>
      <c r="M35" s="388"/>
      <c r="N35" s="386"/>
      <c r="O35" s="392"/>
    </row>
    <row r="36" spans="10:15">
      <c r="J36" s="386"/>
      <c r="K36" s="386"/>
      <c r="L36" s="386"/>
      <c r="M36" s="388"/>
      <c r="N36" s="386"/>
      <c r="O36" s="392"/>
    </row>
    <row r="37" spans="10:15">
      <c r="J37" s="386"/>
      <c r="K37" s="386"/>
      <c r="L37" s="386"/>
      <c r="M37" s="388"/>
      <c r="N37" s="386"/>
      <c r="O37" s="392"/>
    </row>
    <row r="38" spans="10:15">
      <c r="J38" s="386"/>
      <c r="K38" s="386"/>
      <c r="L38" s="386"/>
      <c r="M38" s="388"/>
      <c r="N38" s="386"/>
      <c r="O38" s="392"/>
    </row>
    <row r="39" spans="10:15">
      <c r="J39" s="386"/>
      <c r="K39" s="386"/>
      <c r="L39" s="386"/>
      <c r="M39" s="388"/>
      <c r="N39" s="386"/>
      <c r="O39" s="392"/>
    </row>
    <row r="40" spans="10:15">
      <c r="J40" s="386"/>
      <c r="K40" s="386"/>
      <c r="L40" s="386"/>
      <c r="M40" s="388"/>
      <c r="N40" s="386"/>
      <c r="O40" s="392"/>
    </row>
    <row r="41" spans="10:15">
      <c r="J41" s="386"/>
      <c r="K41" s="386"/>
      <c r="L41" s="386"/>
      <c r="M41" s="388"/>
      <c r="N41" s="386"/>
      <c r="O41" s="392"/>
    </row>
    <row r="42" spans="10:15">
      <c r="J42" s="386"/>
      <c r="K42" s="386"/>
      <c r="L42" s="386"/>
      <c r="M42" s="388"/>
      <c r="N42" s="386"/>
      <c r="O42" s="392"/>
    </row>
    <row r="43" spans="10:15">
      <c r="J43" s="386"/>
      <c r="K43" s="386"/>
      <c r="L43" s="386"/>
      <c r="M43" s="388"/>
      <c r="N43" s="386"/>
      <c r="O43" s="392"/>
    </row>
    <row r="44" spans="10:15">
      <c r="J44" s="386"/>
      <c r="K44" s="386"/>
      <c r="L44" s="386"/>
      <c r="M44" s="388"/>
      <c r="N44" s="386"/>
      <c r="O44" s="392"/>
    </row>
    <row r="45" spans="10:15">
      <c r="J45" s="386"/>
      <c r="K45" s="386"/>
      <c r="L45" s="386"/>
      <c r="M45" s="388"/>
      <c r="N45" s="386"/>
      <c r="O45" s="392"/>
    </row>
    <row r="46" spans="10:15">
      <c r="J46" s="386"/>
      <c r="K46" s="386"/>
      <c r="L46" s="386"/>
      <c r="M46" s="388"/>
      <c r="N46" s="386"/>
      <c r="O46" s="392"/>
    </row>
    <row r="47" spans="10:15">
      <c r="J47" s="386"/>
      <c r="K47" s="386"/>
      <c r="L47" s="386"/>
      <c r="M47" s="388"/>
    </row>
  </sheetData>
  <mergeCells count="17">
    <mergeCell ref="B11:F11"/>
    <mergeCell ref="A4:H4"/>
    <mergeCell ref="A1:H1"/>
    <mergeCell ref="A2:H2"/>
    <mergeCell ref="A3:H3"/>
    <mergeCell ref="B7:F7"/>
    <mergeCell ref="B9:F9"/>
    <mergeCell ref="D25:F25"/>
    <mergeCell ref="G25:H25"/>
    <mergeCell ref="B31:C31"/>
    <mergeCell ref="F31:H31"/>
    <mergeCell ref="E22:F22"/>
    <mergeCell ref="G22:H22"/>
    <mergeCell ref="G23:H23"/>
    <mergeCell ref="D24:F24"/>
    <mergeCell ref="G24:H24"/>
    <mergeCell ref="D23:F23"/>
  </mergeCells>
  <dataValidations count="5">
    <dataValidation type="list" allowBlank="1" showInputMessage="1" showErrorMessage="1" sqref="D13:D21" xr:uid="{F99A5095-D687-4F44-A277-228B2DA43113}">
      <formula1>"BOX,FL"</formula1>
    </dataValidation>
    <dataValidation type="list" allowBlank="1" showInputMessage="1" showErrorMessage="1" sqref="B13:B21" xr:uid="{A9B7F44D-B64F-4CC0-AC6E-094A699DEB88}">
      <formula1>$N$7:$N$31</formula1>
    </dataValidation>
    <dataValidation type="list" allowBlank="1" showInputMessage="1" showErrorMessage="1" sqref="B11:F11" xr:uid="{C1946296-5DED-4F9B-9F98-21A7BE052016}">
      <formula1>$L$7:$L$32</formula1>
    </dataValidation>
    <dataValidation type="list" allowBlank="1" showInputMessage="1" showErrorMessage="1" sqref="B9:F9" xr:uid="{C84A0064-DBF3-469E-B79D-96CD44EADCBE}">
      <formula1>$K$7:$K$32</formula1>
    </dataValidation>
    <dataValidation type="list" allowBlank="1" showInputMessage="1" showErrorMessage="1" sqref="B7:F7" xr:uid="{C8451337-9077-479D-A34E-B42CC789E9A9}">
      <formula1>$J$7:$J$32</formula1>
    </dataValidation>
  </dataValidations>
  <pageMargins left="0.23622047244094491" right="0.23622047244094491" top="0.39370078740157483" bottom="0.19685039370078741" header="0.31496062992125984" footer="0.31496062992125984"/>
  <pageSetup paperSize="11"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7CE77-3A59-4E8D-86C8-45C3086D9343}">
  <sheetPr>
    <tabColor rgb="FFFFFF00"/>
    <pageSetUpPr fitToPage="1"/>
  </sheetPr>
  <dimension ref="A1:X114"/>
  <sheetViews>
    <sheetView topLeftCell="A13" zoomScale="80" zoomScaleNormal="80" zoomScaleSheetLayoutView="64" workbookViewId="0">
      <selection activeCell="B15" sqref="B15"/>
    </sheetView>
  </sheetViews>
  <sheetFormatPr defaultColWidth="9" defaultRowHeight="14.25"/>
  <cols>
    <col min="1" max="1" width="6.7109375" style="1" customWidth="1"/>
    <col min="2" max="2" width="54.42578125" style="8" customWidth="1"/>
    <col min="3" max="3" width="19.28515625" style="1" customWidth="1"/>
    <col min="4" max="4" width="14.42578125" style="2" customWidth="1"/>
    <col min="5" max="5" width="15.42578125" style="1" customWidth="1"/>
    <col min="6" max="6" width="20.42578125" style="1" customWidth="1"/>
    <col min="7" max="7" width="24.7109375" style="3" customWidth="1"/>
    <col min="8" max="8" width="24.7109375" style="23" customWidth="1"/>
    <col min="9" max="9" width="17" style="3" hidden="1" customWidth="1"/>
    <col min="10" max="10" width="2.42578125" style="3" hidden="1" customWidth="1"/>
    <col min="11" max="11" width="21.42578125" style="3" hidden="1" customWidth="1"/>
    <col min="12" max="12" width="13.7109375" style="3" hidden="1" customWidth="1"/>
    <col min="13" max="13" width="14" style="3" hidden="1" customWidth="1"/>
    <col min="14" max="14" width="14.42578125" style="3" hidden="1" customWidth="1"/>
    <col min="15" max="17" width="0" style="3" hidden="1" customWidth="1"/>
    <col min="18" max="18" width="12.28515625" style="3" bestFit="1" customWidth="1"/>
    <col min="19" max="19" width="35.28515625" style="3" customWidth="1"/>
    <col min="20" max="20" width="24" style="3" customWidth="1"/>
    <col min="21" max="21" width="25.7109375" style="3" customWidth="1"/>
    <col min="22" max="22" width="3.5703125" style="269" customWidth="1"/>
    <col min="23" max="23" width="25.7109375" style="3" customWidth="1"/>
    <col min="24" max="24" width="16" style="3" customWidth="1"/>
    <col min="25" max="16384" width="9" style="3"/>
  </cols>
  <sheetData>
    <row r="1" spans="1:24" s="255" customFormat="1" ht="65.25" customHeight="1">
      <c r="A1" s="436" t="s">
        <v>156</v>
      </c>
      <c r="B1" s="436"/>
      <c r="C1" s="436"/>
      <c r="D1" s="436"/>
      <c r="E1" s="436"/>
      <c r="F1" s="436"/>
      <c r="G1" s="436"/>
      <c r="H1" s="436"/>
      <c r="I1" s="254"/>
      <c r="V1" s="268"/>
    </row>
    <row r="2" spans="1:24" ht="37.5" customHeight="1">
      <c r="A2" s="437" t="s">
        <v>141</v>
      </c>
      <c r="B2" s="437"/>
      <c r="C2" s="437"/>
      <c r="D2" s="437"/>
      <c r="E2" s="437"/>
      <c r="F2" s="437"/>
      <c r="G2" s="437"/>
      <c r="H2" s="437"/>
      <c r="I2" s="29"/>
      <c r="S2" s="277" t="s">
        <v>170</v>
      </c>
      <c r="T2" s="277" t="s">
        <v>171</v>
      </c>
      <c r="U2" s="277" t="s">
        <v>172</v>
      </c>
      <c r="W2" s="277" t="s">
        <v>173</v>
      </c>
      <c r="X2" s="277" t="s">
        <v>202</v>
      </c>
    </row>
    <row r="3" spans="1:24" ht="30" customHeight="1">
      <c r="A3" s="438" t="s">
        <v>157</v>
      </c>
      <c r="B3" s="438"/>
      <c r="C3" s="438"/>
      <c r="D3" s="438"/>
      <c r="E3" s="438"/>
      <c r="F3" s="438"/>
      <c r="G3" s="438"/>
      <c r="H3" s="438"/>
      <c r="I3" s="29"/>
      <c r="S3" s="278" t="s">
        <v>204</v>
      </c>
      <c r="T3" s="278"/>
      <c r="U3" s="278"/>
      <c r="W3" s="279" t="s">
        <v>174</v>
      </c>
      <c r="X3" s="322">
        <v>5</v>
      </c>
    </row>
    <row r="4" spans="1:24" ht="30" customHeight="1">
      <c r="A4" s="439" t="s">
        <v>158</v>
      </c>
      <c r="B4" s="439"/>
      <c r="C4" s="439"/>
      <c r="D4" s="439"/>
      <c r="E4" s="439"/>
      <c r="F4" s="439"/>
      <c r="G4" s="439"/>
      <c r="H4" s="439"/>
      <c r="I4" s="29"/>
      <c r="S4" s="278" t="s">
        <v>160</v>
      </c>
      <c r="T4" s="278"/>
      <c r="U4" s="278"/>
      <c r="W4" s="279" t="s">
        <v>175</v>
      </c>
      <c r="X4" s="322">
        <v>3.5</v>
      </c>
    </row>
    <row r="5" spans="1:24" ht="30" customHeight="1">
      <c r="A5" s="440" t="s">
        <v>205</v>
      </c>
      <c r="B5" s="440"/>
      <c r="C5" s="440"/>
      <c r="D5" s="440"/>
      <c r="E5" s="440"/>
      <c r="F5" s="440"/>
      <c r="G5" s="440"/>
      <c r="H5" s="440"/>
      <c r="I5" s="29"/>
      <c r="S5" s="278"/>
      <c r="T5" s="278"/>
      <c r="U5" s="278"/>
      <c r="W5" s="279" t="s">
        <v>176</v>
      </c>
      <c r="X5" s="322">
        <v>2</v>
      </c>
    </row>
    <row r="6" spans="1:24" ht="30" customHeight="1">
      <c r="A6" s="253"/>
      <c r="B6" s="253"/>
      <c r="C6" s="253"/>
      <c r="D6" s="253"/>
      <c r="E6" s="253"/>
      <c r="F6" s="253"/>
      <c r="G6" s="253"/>
      <c r="H6" s="253"/>
      <c r="I6" s="29"/>
      <c r="S6" s="278"/>
      <c r="T6" s="278"/>
      <c r="U6" s="278"/>
      <c r="W6" s="279" t="s">
        <v>177</v>
      </c>
      <c r="X6" s="322">
        <v>6</v>
      </c>
    </row>
    <row r="7" spans="1:24" ht="30" customHeight="1">
      <c r="A7" s="423" t="s">
        <v>159</v>
      </c>
      <c r="B7" s="423"/>
      <c r="C7" s="259"/>
      <c r="D7" s="430" t="s">
        <v>208</v>
      </c>
      <c r="E7" s="430"/>
      <c r="F7" s="253"/>
      <c r="G7" s="253"/>
      <c r="H7" s="253"/>
      <c r="I7" s="29"/>
      <c r="S7" s="278"/>
      <c r="T7" s="278"/>
      <c r="U7" s="278"/>
      <c r="W7" s="279" t="s">
        <v>178</v>
      </c>
      <c r="X7" s="322">
        <v>2</v>
      </c>
    </row>
    <row r="8" spans="1:24" ht="30" customHeight="1">
      <c r="A8" s="260"/>
      <c r="B8" s="304" t="s">
        <v>160</v>
      </c>
      <c r="C8" s="261"/>
      <c r="D8" s="431" t="s">
        <v>209</v>
      </c>
      <c r="E8" s="431"/>
      <c r="F8" s="300"/>
      <c r="G8" s="263" t="s">
        <v>163</v>
      </c>
      <c r="H8" s="265" t="s">
        <v>203</v>
      </c>
      <c r="I8" s="29"/>
      <c r="S8" s="278"/>
      <c r="T8" s="278"/>
      <c r="U8" s="278"/>
      <c r="W8" s="279" t="s">
        <v>179</v>
      </c>
      <c r="X8" s="322">
        <v>5</v>
      </c>
    </row>
    <row r="9" spans="1:24" ht="30" customHeight="1">
      <c r="A9" s="424" t="s">
        <v>161</v>
      </c>
      <c r="B9" s="424"/>
      <c r="C9" s="259"/>
      <c r="D9" s="253"/>
      <c r="E9" s="301"/>
      <c r="F9" s="302"/>
      <c r="G9" s="253"/>
      <c r="H9" s="253"/>
      <c r="I9" s="29"/>
      <c r="S9" s="278"/>
      <c r="T9" s="278"/>
      <c r="U9" s="278"/>
      <c r="W9" s="279" t="s">
        <v>179</v>
      </c>
      <c r="X9" s="322"/>
    </row>
    <row r="10" spans="1:24" ht="30" customHeight="1">
      <c r="A10" s="260"/>
      <c r="B10" s="262" t="s">
        <v>213</v>
      </c>
      <c r="C10" s="260"/>
      <c r="D10" s="253"/>
      <c r="E10" s="264"/>
      <c r="F10" s="303"/>
      <c r="G10" s="264" t="s">
        <v>4</v>
      </c>
      <c r="H10" s="266">
        <v>45925</v>
      </c>
      <c r="I10" s="29"/>
      <c r="S10" s="278"/>
      <c r="T10" s="278"/>
      <c r="U10" s="278"/>
      <c r="W10" s="279" t="s">
        <v>180</v>
      </c>
      <c r="X10" s="322"/>
    </row>
    <row r="11" spans="1:24" ht="30" customHeight="1">
      <c r="A11" s="424" t="s">
        <v>162</v>
      </c>
      <c r="B11" s="424"/>
      <c r="C11" s="259"/>
      <c r="D11" s="253"/>
      <c r="E11" s="253"/>
      <c r="F11" s="253"/>
      <c r="G11" s="253"/>
      <c r="H11" s="253"/>
      <c r="I11" s="29"/>
      <c r="S11" s="278"/>
      <c r="T11" s="278"/>
      <c r="U11" s="278"/>
      <c r="W11" s="279" t="s">
        <v>181</v>
      </c>
      <c r="X11" s="322"/>
    </row>
    <row r="12" spans="1:24" ht="30" customHeight="1">
      <c r="A12" s="261"/>
      <c r="B12" s="341"/>
      <c r="C12" s="260"/>
      <c r="D12" s="253"/>
      <c r="E12" s="253"/>
      <c r="F12" s="253"/>
      <c r="G12" s="253"/>
      <c r="H12" s="253"/>
      <c r="I12" s="29"/>
      <c r="S12" s="278"/>
      <c r="T12" s="278"/>
      <c r="U12" s="278"/>
      <c r="W12" s="279" t="s">
        <v>182</v>
      </c>
      <c r="X12" s="322"/>
    </row>
    <row r="13" spans="1:24" ht="30" customHeight="1" thickBot="1">
      <c r="A13" s="261"/>
      <c r="B13" s="261"/>
      <c r="C13" s="259"/>
      <c r="D13" s="253"/>
      <c r="E13" s="253"/>
      <c r="F13" s="253"/>
      <c r="G13" s="253"/>
      <c r="H13" s="253"/>
      <c r="I13" s="29"/>
      <c r="S13" s="278"/>
      <c r="T13" s="278"/>
      <c r="U13" s="278"/>
      <c r="W13" s="279" t="s">
        <v>182</v>
      </c>
      <c r="X13" s="322"/>
    </row>
    <row r="14" spans="1:24" ht="45.75" customHeight="1" thickBot="1">
      <c r="A14" s="328" t="s">
        <v>164</v>
      </c>
      <c r="B14" s="328" t="s">
        <v>165</v>
      </c>
      <c r="C14" s="328" t="s">
        <v>166</v>
      </c>
      <c r="D14" s="328" t="s">
        <v>196</v>
      </c>
      <c r="E14" s="328" t="s">
        <v>167</v>
      </c>
      <c r="F14" s="328" t="s">
        <v>168</v>
      </c>
      <c r="G14" s="328" t="s">
        <v>169</v>
      </c>
      <c r="H14" s="328" t="s">
        <v>54</v>
      </c>
      <c r="I14" s="29"/>
      <c r="S14" s="278"/>
      <c r="T14" s="278"/>
      <c r="U14" s="278"/>
      <c r="W14" s="279" t="s">
        <v>183</v>
      </c>
      <c r="X14" s="322"/>
    </row>
    <row r="15" spans="1:24" s="10" customFormat="1" ht="37.5" customHeight="1">
      <c r="A15" s="333">
        <v>1</v>
      </c>
      <c r="B15" s="295" t="s">
        <v>181</v>
      </c>
      <c r="C15" s="296">
        <v>45950</v>
      </c>
      <c r="D15" s="325" t="s">
        <v>197</v>
      </c>
      <c r="E15" s="326">
        <v>120</v>
      </c>
      <c r="F15" s="327">
        <v>5</v>
      </c>
      <c r="G15" s="327">
        <v>0</v>
      </c>
      <c r="H15" s="335">
        <f>(F15-G15)*E15</f>
        <v>600</v>
      </c>
      <c r="I15" s="8"/>
      <c r="J15" s="99"/>
      <c r="K15" s="8"/>
      <c r="L15" s="8"/>
      <c r="M15" s="9"/>
      <c r="N15" s="100"/>
      <c r="O15" s="9"/>
      <c r="P15" s="9"/>
      <c r="Q15" s="9"/>
      <c r="R15" s="9"/>
      <c r="S15" s="278"/>
      <c r="T15" s="278"/>
      <c r="U15" s="278"/>
      <c r="V15" s="270"/>
      <c r="W15" s="279" t="s">
        <v>184</v>
      </c>
      <c r="X15" s="323"/>
    </row>
    <row r="16" spans="1:24" s="4" customFormat="1" ht="37.5" customHeight="1">
      <c r="A16" s="333">
        <v>2</v>
      </c>
      <c r="B16" s="295" t="s">
        <v>180</v>
      </c>
      <c r="C16" s="296"/>
      <c r="D16" s="297"/>
      <c r="E16" s="298">
        <v>12</v>
      </c>
      <c r="F16" s="327">
        <v>2</v>
      </c>
      <c r="G16" s="299"/>
      <c r="H16" s="336">
        <f t="shared" ref="H16" si="0">(F16-G16)*E16</f>
        <v>24</v>
      </c>
      <c r="I16" s="3"/>
      <c r="K16" s="111"/>
      <c r="L16" s="60"/>
      <c r="M16" s="104"/>
      <c r="N16" s="15"/>
      <c r="R16" s="121"/>
      <c r="S16" s="278"/>
      <c r="T16" s="278"/>
      <c r="U16" s="278"/>
      <c r="V16" s="271"/>
      <c r="W16" s="279" t="s">
        <v>185</v>
      </c>
      <c r="X16" s="322"/>
    </row>
    <row r="17" spans="1:24" s="4" customFormat="1" ht="37.5" customHeight="1">
      <c r="A17" s="333">
        <v>3</v>
      </c>
      <c r="B17" s="295"/>
      <c r="C17" s="296"/>
      <c r="D17" s="297"/>
      <c r="E17" s="298"/>
      <c r="F17" s="327"/>
      <c r="G17" s="299"/>
      <c r="H17" s="336"/>
      <c r="I17" s="3"/>
      <c r="K17" s="111"/>
      <c r="L17" s="60"/>
      <c r="M17" s="104"/>
      <c r="N17" s="15"/>
      <c r="R17" s="121"/>
      <c r="S17" s="278"/>
      <c r="T17" s="278"/>
      <c r="U17" s="278"/>
      <c r="V17" s="271"/>
      <c r="W17" s="279" t="s">
        <v>186</v>
      </c>
      <c r="X17" s="322"/>
    </row>
    <row r="18" spans="1:24" s="4" customFormat="1" ht="37.5" customHeight="1">
      <c r="A18" s="333">
        <v>4</v>
      </c>
      <c r="B18" s="295"/>
      <c r="C18" s="296"/>
      <c r="D18" s="297"/>
      <c r="E18" s="298"/>
      <c r="F18" s="327"/>
      <c r="G18" s="299"/>
      <c r="H18" s="336"/>
      <c r="I18" s="3"/>
      <c r="K18" s="111"/>
      <c r="L18" s="60"/>
      <c r="M18" s="104"/>
      <c r="N18" s="15"/>
      <c r="R18" s="121"/>
      <c r="S18" s="278"/>
      <c r="T18" s="278"/>
      <c r="U18" s="278"/>
      <c r="V18" s="271"/>
      <c r="W18" s="279" t="s">
        <v>187</v>
      </c>
      <c r="X18" s="322"/>
    </row>
    <row r="19" spans="1:24" s="4" customFormat="1" ht="37.5" customHeight="1">
      <c r="A19" s="333">
        <v>5</v>
      </c>
      <c r="B19" s="295"/>
      <c r="C19" s="296"/>
      <c r="D19" s="297"/>
      <c r="E19" s="298"/>
      <c r="F19" s="327"/>
      <c r="G19" s="299"/>
      <c r="H19" s="336"/>
      <c r="I19" s="3"/>
      <c r="K19" s="111"/>
      <c r="L19" s="60"/>
      <c r="M19" s="104"/>
      <c r="N19" s="15"/>
      <c r="R19" s="121"/>
      <c r="S19" s="278"/>
      <c r="T19" s="278"/>
      <c r="U19" s="278"/>
      <c r="V19" s="271"/>
      <c r="W19" s="279" t="s">
        <v>188</v>
      </c>
      <c r="X19" s="322"/>
    </row>
    <row r="20" spans="1:24" s="4" customFormat="1" ht="37.5" customHeight="1">
      <c r="A20" s="333">
        <v>6</v>
      </c>
      <c r="B20" s="295"/>
      <c r="C20" s="296"/>
      <c r="D20" s="297"/>
      <c r="E20" s="298"/>
      <c r="F20" s="327"/>
      <c r="G20" s="299"/>
      <c r="H20" s="336"/>
      <c r="I20" s="3"/>
      <c r="K20" s="111"/>
      <c r="L20" s="60"/>
      <c r="M20" s="104"/>
      <c r="N20" s="15"/>
      <c r="R20" s="121"/>
      <c r="S20" s="278"/>
      <c r="T20" s="278"/>
      <c r="U20" s="278"/>
      <c r="V20" s="271"/>
      <c r="W20" s="279" t="s">
        <v>187</v>
      </c>
      <c r="X20" s="322"/>
    </row>
    <row r="21" spans="1:24" s="4" customFormat="1" ht="37.5" customHeight="1">
      <c r="A21" s="333">
        <v>7</v>
      </c>
      <c r="B21" s="295"/>
      <c r="C21" s="296"/>
      <c r="D21" s="297"/>
      <c r="E21" s="298"/>
      <c r="F21" s="327"/>
      <c r="G21" s="299"/>
      <c r="H21" s="336"/>
      <c r="I21" s="3"/>
      <c r="K21" s="111"/>
      <c r="L21" s="60"/>
      <c r="M21" s="104"/>
      <c r="N21" s="15"/>
      <c r="R21" s="121"/>
      <c r="S21" s="278"/>
      <c r="T21" s="278"/>
      <c r="U21" s="278"/>
      <c r="V21" s="271"/>
      <c r="W21" s="279" t="s">
        <v>189</v>
      </c>
      <c r="X21" s="322"/>
    </row>
    <row r="22" spans="1:24" ht="37.5" customHeight="1">
      <c r="A22" s="333">
        <v>8</v>
      </c>
      <c r="B22" s="295"/>
      <c r="C22" s="296"/>
      <c r="D22" s="297"/>
      <c r="E22" s="298"/>
      <c r="F22" s="327"/>
      <c r="G22" s="299"/>
      <c r="H22" s="336"/>
      <c r="I22" s="114"/>
      <c r="K22" s="115" t="s">
        <v>0</v>
      </c>
      <c r="L22" s="14" t="e">
        <f>SUMIF(#REF!,K22,#REF!)</f>
        <v>#REF!</v>
      </c>
      <c r="M22" s="4"/>
      <c r="N22" s="4"/>
      <c r="O22" s="4"/>
      <c r="P22" s="4"/>
      <c r="Q22" s="4"/>
      <c r="R22" s="4"/>
      <c r="S22" s="108"/>
      <c r="T22" s="108"/>
      <c r="U22" s="108"/>
      <c r="V22" s="272"/>
      <c r="W22" s="279" t="s">
        <v>190</v>
      </c>
      <c r="X22" s="322"/>
    </row>
    <row r="23" spans="1:24" ht="37.5" customHeight="1" thickBot="1">
      <c r="A23" s="334">
        <v>9</v>
      </c>
      <c r="B23" s="329"/>
      <c r="C23" s="330"/>
      <c r="D23" s="331"/>
      <c r="E23" s="332"/>
      <c r="F23" s="327"/>
      <c r="G23" s="299"/>
      <c r="H23" s="336"/>
      <c r="I23" s="114"/>
      <c r="K23" s="280"/>
      <c r="L23" s="60"/>
      <c r="M23" s="4"/>
      <c r="N23" s="4"/>
      <c r="O23" s="4"/>
      <c r="P23" s="4"/>
      <c r="Q23" s="4"/>
      <c r="R23" s="4"/>
      <c r="S23" s="108"/>
      <c r="T23" s="108"/>
      <c r="U23" s="108"/>
      <c r="V23" s="272"/>
      <c r="W23" s="279"/>
      <c r="X23" s="322"/>
    </row>
    <row r="24" spans="1:24" ht="37.5" customHeight="1">
      <c r="A24" s="289"/>
      <c r="B24" s="289"/>
      <c r="C24" s="289"/>
      <c r="D24" s="289"/>
      <c r="E24" s="289"/>
      <c r="F24" s="427" t="s">
        <v>191</v>
      </c>
      <c r="G24" s="428"/>
      <c r="H24" s="337">
        <f>SUM(H15:H23)</f>
        <v>624</v>
      </c>
      <c r="I24" s="114"/>
      <c r="K24" s="280"/>
      <c r="L24" s="60"/>
      <c r="M24" s="4"/>
      <c r="N24" s="4"/>
      <c r="O24" s="4"/>
      <c r="P24" s="4"/>
      <c r="Q24" s="4"/>
      <c r="R24" s="4"/>
      <c r="S24" s="108"/>
      <c r="T24" s="108"/>
      <c r="U24" s="108"/>
      <c r="V24" s="272"/>
      <c r="W24" s="279"/>
      <c r="X24" s="322"/>
    </row>
    <row r="25" spans="1:24" s="17" customFormat="1" ht="37.5" customHeight="1">
      <c r="A25" s="289"/>
      <c r="B25" s="306" t="s">
        <v>198</v>
      </c>
      <c r="C25" s="289"/>
      <c r="D25" s="289"/>
      <c r="E25" s="289"/>
      <c r="F25" s="427" t="s">
        <v>192</v>
      </c>
      <c r="G25" s="428"/>
      <c r="H25" s="337">
        <f>H24*0.1</f>
        <v>62.400000000000006</v>
      </c>
      <c r="K25" s="18"/>
      <c r="L25" s="18"/>
      <c r="R25" s="139"/>
      <c r="S25" s="138"/>
      <c r="T25" s="138"/>
      <c r="U25" s="138"/>
      <c r="V25" s="273"/>
      <c r="W25" s="279"/>
      <c r="X25" s="318"/>
    </row>
    <row r="26" spans="1:24" ht="37.5" customHeight="1">
      <c r="B26" s="2"/>
      <c r="F26" s="427" t="s">
        <v>193</v>
      </c>
      <c r="G26" s="428"/>
      <c r="H26" s="338">
        <f>H24+H25</f>
        <v>686.4</v>
      </c>
      <c r="W26" s="279"/>
      <c r="X26" s="322"/>
    </row>
    <row r="27" spans="1:24" ht="37.5" customHeight="1">
      <c r="B27" s="305" t="s">
        <v>199</v>
      </c>
      <c r="F27" s="432" t="s">
        <v>194</v>
      </c>
      <c r="G27" s="433"/>
      <c r="H27" s="339">
        <v>4060</v>
      </c>
      <c r="W27" s="279"/>
      <c r="X27" s="322"/>
    </row>
    <row r="28" spans="1:24" ht="37.5" customHeight="1" thickBot="1">
      <c r="B28" s="305" t="s">
        <v>200</v>
      </c>
      <c r="F28" s="434" t="s">
        <v>195</v>
      </c>
      <c r="G28" s="435"/>
      <c r="H28" s="340">
        <f>H26*H27</f>
        <v>2786784</v>
      </c>
      <c r="W28" s="279"/>
      <c r="X28" s="322"/>
    </row>
    <row r="29" spans="1:24" ht="37.5" customHeight="1">
      <c r="B29" s="305" t="s">
        <v>201</v>
      </c>
      <c r="F29" s="289"/>
      <c r="G29" s="289"/>
      <c r="W29" s="279"/>
      <c r="X29" s="322"/>
    </row>
    <row r="30" spans="1:24" ht="22.5">
      <c r="W30" s="279"/>
      <c r="X30" s="322"/>
    </row>
    <row r="31" spans="1:24" ht="22.5">
      <c r="W31" s="279"/>
      <c r="X31" s="322"/>
    </row>
    <row r="32" spans="1:24" ht="22.5">
      <c r="W32" s="279"/>
      <c r="X32" s="322"/>
    </row>
    <row r="33" spans="1:24" s="17" customFormat="1" ht="25.15" customHeight="1">
      <c r="A33" s="289"/>
      <c r="B33" s="289"/>
      <c r="C33" s="289"/>
      <c r="D33" s="289"/>
      <c r="E33" s="289"/>
      <c r="F33" s="289"/>
      <c r="G33" s="289"/>
      <c r="H33" s="290"/>
      <c r="K33" s="18"/>
      <c r="L33" s="18"/>
      <c r="R33" s="139"/>
      <c r="S33" s="138"/>
      <c r="T33" s="138"/>
      <c r="U33" s="138"/>
      <c r="V33" s="273"/>
      <c r="W33" s="279"/>
      <c r="X33" s="318"/>
    </row>
    <row r="34" spans="1:24" s="17" customFormat="1" ht="25.15" customHeight="1">
      <c r="A34" s="289"/>
      <c r="B34" s="289"/>
      <c r="C34" s="289"/>
      <c r="D34" s="289"/>
      <c r="E34" s="289"/>
      <c r="F34" s="289"/>
      <c r="G34" s="289"/>
      <c r="H34" s="290"/>
      <c r="K34" s="18"/>
      <c r="L34" s="18"/>
      <c r="R34" s="139"/>
      <c r="S34" s="138"/>
      <c r="T34" s="138"/>
      <c r="U34" s="138"/>
      <c r="V34" s="273"/>
      <c r="W34" s="276"/>
      <c r="X34" s="318"/>
    </row>
    <row r="35" spans="1:24" s="17" customFormat="1" ht="25.15" customHeight="1">
      <c r="A35" s="289"/>
      <c r="B35" s="289"/>
      <c r="C35" s="289"/>
      <c r="D35" s="289"/>
      <c r="E35" s="289"/>
      <c r="F35" s="289"/>
      <c r="G35" s="289"/>
      <c r="H35" s="290"/>
      <c r="K35" s="18"/>
      <c r="L35" s="18"/>
      <c r="R35" s="139"/>
      <c r="S35" s="138"/>
      <c r="T35" s="138"/>
      <c r="U35" s="138"/>
      <c r="V35" s="273"/>
      <c r="W35" s="276"/>
      <c r="X35" s="318"/>
    </row>
    <row r="36" spans="1:24" s="17" customFormat="1" ht="25.15" customHeight="1">
      <c r="A36" s="154"/>
      <c r="B36" s="294"/>
      <c r="C36" s="154"/>
      <c r="D36" s="153"/>
      <c r="E36" s="293"/>
      <c r="F36" s="293"/>
      <c r="G36" s="37"/>
      <c r="H36" s="30"/>
      <c r="K36" s="18"/>
      <c r="L36" s="18"/>
      <c r="R36" s="139"/>
      <c r="S36" s="138"/>
      <c r="T36" s="138"/>
      <c r="U36" s="138"/>
      <c r="V36" s="273"/>
      <c r="W36" s="276"/>
      <c r="X36" s="318"/>
    </row>
    <row r="37" spans="1:24" s="17" customFormat="1" ht="25.15" customHeight="1">
      <c r="A37" s="38"/>
      <c r="B37" s="38"/>
      <c r="C37" s="66"/>
      <c r="D37" s="36"/>
      <c r="E37" s="39"/>
      <c r="F37" s="39"/>
      <c r="G37" s="39"/>
      <c r="H37" s="30"/>
      <c r="K37" s="18"/>
      <c r="L37" s="18"/>
      <c r="R37" s="139"/>
      <c r="S37" s="138"/>
      <c r="T37" s="138"/>
      <c r="U37" s="138"/>
      <c r="V37" s="273"/>
      <c r="W37" s="276"/>
      <c r="X37" s="318"/>
    </row>
    <row r="38" spans="1:24" s="17" customFormat="1" ht="25.15" customHeight="1">
      <c r="A38" s="39"/>
      <c r="B38" s="39"/>
      <c r="C38" s="66"/>
      <c r="D38" s="36"/>
      <c r="E38" s="30"/>
      <c r="F38" s="30"/>
      <c r="G38" s="30"/>
      <c r="H38" s="30"/>
      <c r="K38" s="18"/>
      <c r="L38" s="18"/>
      <c r="R38" s="139"/>
      <c r="S38" s="138"/>
      <c r="T38" s="138"/>
      <c r="U38" s="138"/>
      <c r="V38" s="273"/>
      <c r="W38" s="276"/>
      <c r="X38" s="318"/>
    </row>
    <row r="39" spans="1:24" s="17" customFormat="1" ht="25.15" customHeight="1">
      <c r="A39" s="39"/>
      <c r="B39" s="39"/>
      <c r="C39" s="66"/>
      <c r="D39" s="36"/>
      <c r="E39" s="30"/>
      <c r="F39" s="30"/>
      <c r="G39" s="30"/>
      <c r="H39" s="30"/>
      <c r="K39" s="18"/>
      <c r="L39" s="18"/>
      <c r="R39" s="139"/>
      <c r="S39" s="138"/>
      <c r="T39" s="138"/>
      <c r="U39" s="138"/>
      <c r="V39" s="273"/>
      <c r="W39" s="276"/>
      <c r="X39" s="318"/>
    </row>
    <row r="40" spans="1:24" s="312" customFormat="1" ht="25.15" customHeight="1">
      <c r="A40" s="307"/>
      <c r="B40" s="308" t="s">
        <v>206</v>
      </c>
      <c r="C40" s="309"/>
      <c r="D40" s="310"/>
      <c r="E40" s="307"/>
      <c r="F40" s="429" t="s">
        <v>207</v>
      </c>
      <c r="G40" s="429"/>
      <c r="H40" s="311"/>
      <c r="K40" s="313"/>
      <c r="L40" s="313"/>
      <c r="R40" s="314"/>
      <c r="S40" s="315"/>
      <c r="T40" s="315"/>
      <c r="U40" s="315"/>
      <c r="V40" s="316"/>
      <c r="W40" s="317"/>
      <c r="X40" s="318"/>
    </row>
    <row r="41" spans="1:24" s="312" customFormat="1" ht="25.15" customHeight="1">
      <c r="A41" s="307"/>
      <c r="B41" s="319" t="s">
        <v>4</v>
      </c>
      <c r="C41" s="320"/>
      <c r="D41" s="310"/>
      <c r="E41" s="307"/>
      <c r="F41" s="319" t="s">
        <v>4</v>
      </c>
      <c r="G41" s="321"/>
      <c r="H41" s="311"/>
      <c r="K41" s="313"/>
      <c r="L41" s="313"/>
      <c r="V41" s="316"/>
      <c r="W41" s="317"/>
      <c r="X41" s="318"/>
    </row>
    <row r="42" spans="1:24" s="17" customFormat="1" ht="25.15" customHeight="1">
      <c r="A42" s="39"/>
      <c r="B42" s="39"/>
      <c r="C42" s="66"/>
      <c r="D42" s="36"/>
      <c r="E42" s="42"/>
      <c r="F42" s="42"/>
      <c r="G42" s="42"/>
      <c r="H42" s="290"/>
      <c r="K42" s="18"/>
      <c r="L42" s="18"/>
      <c r="V42" s="273"/>
      <c r="W42" s="276"/>
      <c r="X42" s="318"/>
    </row>
    <row r="43" spans="1:24" s="17" customFormat="1" ht="25.15" customHeight="1">
      <c r="A43" s="30"/>
      <c r="B43" s="64"/>
      <c r="C43" s="32"/>
      <c r="D43" s="33"/>
      <c r="E43" s="32"/>
      <c r="F43" s="32"/>
      <c r="G43" s="31"/>
      <c r="H43" s="35"/>
      <c r="K43" s="18"/>
      <c r="L43" s="18"/>
      <c r="R43" s="138"/>
      <c r="S43" s="275"/>
      <c r="T43" s="275"/>
      <c r="U43" s="275"/>
      <c r="V43" s="273"/>
      <c r="W43" s="276"/>
      <c r="X43" s="324"/>
    </row>
    <row r="44" spans="1:24" s="17" customFormat="1" ht="25.15" customHeight="1">
      <c r="A44" s="425"/>
      <c r="B44" s="425"/>
      <c r="C44" s="425"/>
      <c r="D44" s="153"/>
      <c r="E44" s="154"/>
      <c r="F44" s="37"/>
      <c r="G44" s="30"/>
      <c r="H44" s="267"/>
      <c r="K44" s="18"/>
      <c r="L44" s="18"/>
      <c r="V44" s="273"/>
      <c r="W44" s="276"/>
      <c r="X44" s="324"/>
    </row>
    <row r="45" spans="1:24" s="17" customFormat="1" ht="25.15" customHeight="1">
      <c r="A45" s="38"/>
      <c r="B45" s="66"/>
      <c r="C45" s="39"/>
      <c r="D45" s="36"/>
      <c r="E45" s="39"/>
      <c r="F45" s="39"/>
      <c r="G45" s="30"/>
      <c r="H45" s="256"/>
      <c r="K45" s="18"/>
      <c r="L45" s="18"/>
      <c r="V45" s="273"/>
      <c r="W45" s="276"/>
      <c r="X45" s="324"/>
    </row>
    <row r="46" spans="1:24" s="18" customFormat="1" ht="19.899999999999999" customHeight="1">
      <c r="A46" s="39"/>
      <c r="B46" s="66"/>
      <c r="C46" s="39"/>
      <c r="D46" s="36"/>
      <c r="E46" s="30"/>
      <c r="F46" s="30"/>
      <c r="G46" s="30"/>
      <c r="H46" s="257"/>
      <c r="V46" s="274"/>
      <c r="W46" s="276"/>
      <c r="X46" s="322"/>
    </row>
    <row r="47" spans="1:24" s="18" customFormat="1" ht="19.899999999999999" customHeight="1">
      <c r="A47" s="39"/>
      <c r="B47" s="66"/>
      <c r="C47" s="39"/>
      <c r="D47" s="36"/>
      <c r="E47" s="30"/>
      <c r="F47" s="30"/>
      <c r="G47" s="30"/>
      <c r="H47" s="257"/>
      <c r="V47" s="274"/>
      <c r="W47" s="276"/>
      <c r="X47" s="322"/>
    </row>
    <row r="48" spans="1:24" s="18" customFormat="1" ht="19.899999999999999" customHeight="1">
      <c r="A48" s="291"/>
      <c r="B48" s="66"/>
      <c r="C48" s="39"/>
      <c r="D48" s="36"/>
      <c r="E48" s="291"/>
      <c r="F48" s="39"/>
      <c r="G48" s="39"/>
      <c r="H48" s="258"/>
      <c r="V48" s="274"/>
      <c r="W48" s="276"/>
      <c r="X48" s="322"/>
    </row>
    <row r="49" spans="1:24" s="18" customFormat="1" ht="19.899999999999999" customHeight="1">
      <c r="A49" s="41"/>
      <c r="B49" s="66"/>
      <c r="C49" s="39"/>
      <c r="D49" s="36"/>
      <c r="E49" s="39"/>
      <c r="F49" s="39"/>
      <c r="G49" s="30"/>
      <c r="H49" s="17"/>
      <c r="V49" s="274"/>
      <c r="W49" s="276"/>
      <c r="X49" s="322"/>
    </row>
    <row r="50" spans="1:24" s="18" customFormat="1" ht="19.899999999999999" customHeight="1">
      <c r="A50" s="291"/>
      <c r="B50" s="426"/>
      <c r="C50" s="426"/>
      <c r="D50" s="36"/>
      <c r="E50" s="291"/>
      <c r="F50" s="39"/>
      <c r="G50" s="39"/>
      <c r="H50" s="258"/>
      <c r="V50" s="274"/>
      <c r="W50" s="276"/>
      <c r="X50" s="322"/>
    </row>
    <row r="51" spans="1:24" s="18" customFormat="1" ht="19.899999999999999" customHeight="1">
      <c r="A51" s="39"/>
      <c r="B51" s="66"/>
      <c r="C51" s="39"/>
      <c r="D51" s="36"/>
      <c r="E51" s="42"/>
      <c r="F51" s="42"/>
      <c r="G51" s="42"/>
      <c r="H51" s="39"/>
      <c r="V51" s="274"/>
      <c r="W51" s="276"/>
      <c r="X51" s="322"/>
    </row>
    <row r="52" spans="1:24" s="18" customFormat="1" ht="19.899999999999999" customHeight="1">
      <c r="A52" s="39"/>
      <c r="B52" s="66"/>
      <c r="C52" s="39"/>
      <c r="D52" s="36"/>
      <c r="E52" s="38"/>
      <c r="F52" s="38"/>
      <c r="G52" s="39"/>
      <c r="H52" s="43"/>
      <c r="V52" s="274"/>
      <c r="W52" s="276"/>
      <c r="X52" s="322"/>
    </row>
    <row r="53" spans="1:24" s="18" customFormat="1" ht="19.899999999999999" customHeight="1">
      <c r="A53" s="42"/>
      <c r="B53" s="66"/>
      <c r="C53" s="39"/>
      <c r="D53" s="36"/>
      <c r="E53" s="38"/>
      <c r="F53" s="38"/>
      <c r="G53" s="42"/>
      <c r="H53" s="43"/>
      <c r="V53" s="274"/>
      <c r="W53" s="276"/>
      <c r="X53" s="322"/>
    </row>
    <row r="54" spans="1:24" s="18" customFormat="1" ht="19.899999999999999" customHeight="1">
      <c r="A54" s="42"/>
      <c r="B54" s="66"/>
      <c r="C54" s="39"/>
      <c r="D54" s="422"/>
      <c r="E54" s="422"/>
      <c r="F54" s="422"/>
      <c r="G54" s="282"/>
      <c r="H54" s="43"/>
      <c r="V54" s="274"/>
      <c r="W54" s="276"/>
      <c r="X54" s="322"/>
    </row>
    <row r="55" spans="1:24" s="18" customFormat="1" ht="19.899999999999999" customHeight="1">
      <c r="A55" s="42"/>
      <c r="B55" s="66"/>
      <c r="C55" s="39"/>
      <c r="D55" s="283"/>
      <c r="E55" s="284"/>
      <c r="F55" s="284"/>
      <c r="G55" s="283"/>
      <c r="H55" s="43"/>
      <c r="V55" s="274"/>
      <c r="W55" s="276"/>
      <c r="X55" s="322"/>
    </row>
    <row r="56" spans="1:24" s="18" customFormat="1" ht="19.899999999999999" customHeight="1">
      <c r="A56" s="42"/>
      <c r="B56" s="66"/>
      <c r="C56" s="39"/>
      <c r="D56" s="17"/>
      <c r="E56" s="281"/>
      <c r="F56" s="281"/>
      <c r="G56" s="17"/>
      <c r="H56" s="43"/>
      <c r="V56" s="274"/>
      <c r="W56" s="276"/>
      <c r="X56" s="322"/>
    </row>
    <row r="57" spans="1:24" s="18" customFormat="1" ht="19.899999999999999" customHeight="1">
      <c r="A57" s="42"/>
      <c r="B57" s="66"/>
      <c r="C57" s="39"/>
      <c r="D57" s="17"/>
      <c r="E57" s="281"/>
      <c r="F57" s="281"/>
      <c r="G57" s="17"/>
      <c r="H57" s="43"/>
      <c r="V57" s="274"/>
      <c r="W57" s="276"/>
      <c r="X57" s="322"/>
    </row>
    <row r="58" spans="1:24" s="18" customFormat="1" ht="19.899999999999999" customHeight="1">
      <c r="A58" s="42"/>
      <c r="B58" s="66"/>
      <c r="C58" s="39"/>
      <c r="D58" s="17"/>
      <c r="E58" s="281"/>
      <c r="F58" s="281"/>
      <c r="G58" s="17"/>
      <c r="H58" s="43"/>
      <c r="V58" s="274"/>
      <c r="W58" s="276"/>
      <c r="X58" s="322"/>
    </row>
    <row r="59" spans="1:24" s="18" customFormat="1" ht="19.899999999999999" customHeight="1">
      <c r="A59" s="42"/>
      <c r="B59" s="66"/>
      <c r="C59" s="39"/>
      <c r="D59" s="17"/>
      <c r="E59" s="281"/>
      <c r="F59" s="281"/>
      <c r="G59" s="17"/>
      <c r="H59" s="43"/>
      <c r="V59" s="274"/>
      <c r="W59" s="276"/>
      <c r="X59" s="322"/>
    </row>
    <row r="60" spans="1:24" s="18" customFormat="1" ht="19.899999999999999" customHeight="1">
      <c r="A60" s="42"/>
      <c r="B60" s="66"/>
      <c r="C60" s="39"/>
      <c r="D60" s="17"/>
      <c r="E60" s="281"/>
      <c r="F60" s="281"/>
      <c r="G60" s="17"/>
      <c r="H60" s="43"/>
      <c r="V60" s="274"/>
      <c r="W60" s="276"/>
      <c r="X60" s="292"/>
    </row>
    <row r="61" spans="1:24" s="18" customFormat="1" ht="19.899999999999999" customHeight="1">
      <c r="A61" s="42"/>
      <c r="B61" s="66"/>
      <c r="C61" s="39"/>
      <c r="D61" s="17"/>
      <c r="E61" s="281"/>
      <c r="F61" s="281"/>
      <c r="G61" s="17"/>
      <c r="H61" s="43"/>
      <c r="V61" s="274"/>
      <c r="W61" s="276"/>
      <c r="X61" s="292"/>
    </row>
    <row r="62" spans="1:24" s="18" customFormat="1" ht="19.899999999999999" customHeight="1">
      <c r="A62" s="42"/>
      <c r="B62" s="66"/>
      <c r="C62" s="39"/>
      <c r="D62" s="17"/>
      <c r="E62" s="281"/>
      <c r="F62" s="281"/>
      <c r="G62" s="17"/>
      <c r="H62" s="43"/>
      <c r="V62" s="274"/>
      <c r="W62" s="276"/>
      <c r="X62" s="292"/>
    </row>
    <row r="63" spans="1:24" s="18" customFormat="1" ht="19.899999999999999" customHeight="1">
      <c r="A63" s="42"/>
      <c r="B63" s="66"/>
      <c r="C63" s="39"/>
      <c r="D63" s="17"/>
      <c r="E63" s="281"/>
      <c r="F63" s="281"/>
      <c r="G63" s="17"/>
      <c r="H63" s="43"/>
      <c r="V63" s="274"/>
      <c r="W63" s="276"/>
      <c r="X63" s="292"/>
    </row>
    <row r="64" spans="1:24" s="18" customFormat="1" ht="19.899999999999999" customHeight="1">
      <c r="A64" s="42"/>
      <c r="B64" s="66"/>
      <c r="C64" s="39"/>
      <c r="D64" s="17"/>
      <c r="E64" s="281"/>
      <c r="F64" s="281"/>
      <c r="G64" s="17"/>
      <c r="H64" s="43"/>
      <c r="V64" s="274"/>
      <c r="W64" s="276"/>
      <c r="X64" s="292"/>
    </row>
    <row r="65" spans="1:24" s="18" customFormat="1" ht="19.899999999999999" customHeight="1">
      <c r="A65" s="42"/>
      <c r="B65" s="66"/>
      <c r="C65" s="39"/>
      <c r="D65" s="17"/>
      <c r="E65" s="281"/>
      <c r="F65" s="281"/>
      <c r="G65" s="17"/>
      <c r="H65" s="43"/>
      <c r="V65" s="274"/>
      <c r="W65" s="276"/>
      <c r="X65" s="292"/>
    </row>
    <row r="66" spans="1:24" s="18" customFormat="1" ht="19.899999999999999" customHeight="1">
      <c r="A66" s="42"/>
      <c r="B66" s="66"/>
      <c r="C66" s="39"/>
      <c r="D66" s="17"/>
      <c r="E66" s="281"/>
      <c r="F66" s="281"/>
      <c r="G66" s="17"/>
      <c r="H66" s="43"/>
      <c r="V66" s="274"/>
      <c r="W66" s="276"/>
      <c r="X66" s="292"/>
    </row>
    <row r="67" spans="1:24" s="18" customFormat="1" ht="19.899999999999999" customHeight="1">
      <c r="A67" s="42"/>
      <c r="B67" s="66"/>
      <c r="C67" s="39"/>
      <c r="D67" s="17"/>
      <c r="E67" s="281"/>
      <c r="F67" s="281"/>
      <c r="G67" s="17"/>
      <c r="H67" s="43"/>
      <c r="V67" s="274"/>
      <c r="W67" s="276"/>
      <c r="X67" s="292"/>
    </row>
    <row r="68" spans="1:24" s="18" customFormat="1" ht="19.899999999999999" customHeight="1">
      <c r="A68" s="42"/>
      <c r="B68" s="66"/>
      <c r="C68" s="39"/>
      <c r="D68" s="17"/>
      <c r="E68" s="281"/>
      <c r="F68" s="281"/>
      <c r="G68" s="17"/>
      <c r="H68" s="43"/>
      <c r="V68" s="274"/>
      <c r="W68" s="276"/>
      <c r="X68" s="292"/>
    </row>
    <row r="69" spans="1:24" s="18" customFormat="1" ht="19.899999999999999" customHeight="1">
      <c r="A69" s="42"/>
      <c r="B69" s="66"/>
      <c r="C69" s="39"/>
      <c r="D69" s="17"/>
      <c r="E69" s="281"/>
      <c r="F69" s="281"/>
      <c r="G69" s="17"/>
      <c r="H69" s="43"/>
      <c r="V69" s="274"/>
      <c r="W69" s="276"/>
      <c r="X69" s="292"/>
    </row>
    <row r="70" spans="1:24" s="18" customFormat="1" ht="19.899999999999999" customHeight="1">
      <c r="A70" s="42"/>
      <c r="B70" s="66"/>
      <c r="C70" s="39"/>
      <c r="D70" s="17"/>
      <c r="E70" s="281"/>
      <c r="F70" s="281"/>
      <c r="G70" s="17"/>
      <c r="H70" s="43"/>
      <c r="V70" s="274"/>
      <c r="W70" s="276"/>
      <c r="X70" s="292"/>
    </row>
    <row r="71" spans="1:24" s="18" customFormat="1" ht="19.899999999999999" customHeight="1">
      <c r="A71" s="42"/>
      <c r="B71" s="66"/>
      <c r="C71" s="39"/>
      <c r="D71" s="17"/>
      <c r="E71" s="281"/>
      <c r="F71" s="281"/>
      <c r="G71" s="17"/>
      <c r="H71" s="43"/>
      <c r="V71" s="274"/>
      <c r="W71" s="276"/>
      <c r="X71" s="292"/>
    </row>
    <row r="72" spans="1:24" s="18" customFormat="1" ht="19.899999999999999" customHeight="1">
      <c r="A72" s="42"/>
      <c r="B72" s="66"/>
      <c r="C72" s="39"/>
      <c r="D72" s="17"/>
      <c r="E72" s="281"/>
      <c r="F72" s="281"/>
      <c r="G72" s="17"/>
      <c r="H72" s="43"/>
      <c r="V72" s="274"/>
      <c r="W72" s="276"/>
      <c r="X72" s="292"/>
    </row>
    <row r="73" spans="1:24" s="18" customFormat="1" ht="19.899999999999999" customHeight="1">
      <c r="A73" s="42"/>
      <c r="B73" s="66"/>
      <c r="C73" s="39"/>
      <c r="D73" s="17"/>
      <c r="E73" s="281"/>
      <c r="F73" s="281"/>
      <c r="G73" s="17"/>
      <c r="H73" s="43"/>
      <c r="V73" s="274"/>
      <c r="W73" s="276"/>
      <c r="X73" s="292"/>
    </row>
    <row r="74" spans="1:24" s="18" customFormat="1" ht="19.899999999999999" customHeight="1">
      <c r="A74" s="42"/>
      <c r="B74" s="66"/>
      <c r="C74" s="39"/>
      <c r="D74" s="17"/>
      <c r="E74" s="281"/>
      <c r="F74" s="281"/>
      <c r="G74" s="17"/>
      <c r="H74" s="43"/>
      <c r="V74" s="274"/>
      <c r="W74" s="276"/>
      <c r="X74" s="292"/>
    </row>
    <row r="75" spans="1:24" s="18" customFormat="1" ht="19.899999999999999" customHeight="1">
      <c r="A75" s="42"/>
      <c r="B75" s="66"/>
      <c r="C75" s="39"/>
      <c r="D75" s="17"/>
      <c r="E75" s="281"/>
      <c r="F75" s="281"/>
      <c r="G75" s="17"/>
      <c r="H75" s="43"/>
      <c r="V75" s="274"/>
      <c r="W75" s="276"/>
      <c r="X75" s="292"/>
    </row>
    <row r="76" spans="1:24" s="18" customFormat="1" ht="19.899999999999999" customHeight="1">
      <c r="A76" s="42"/>
      <c r="B76" s="66"/>
      <c r="C76" s="39"/>
      <c r="D76" s="17"/>
      <c r="E76" s="281"/>
      <c r="F76" s="281"/>
      <c r="G76" s="17"/>
      <c r="H76" s="43"/>
      <c r="V76" s="274"/>
      <c r="W76" s="276"/>
      <c r="X76" s="292"/>
    </row>
    <row r="77" spans="1:24" s="18" customFormat="1" ht="19.899999999999999" customHeight="1">
      <c r="A77" s="42"/>
      <c r="B77" s="66"/>
      <c r="C77" s="39"/>
      <c r="D77" s="17"/>
      <c r="E77" s="281"/>
      <c r="F77" s="281"/>
      <c r="G77" s="17"/>
      <c r="H77" s="43"/>
      <c r="V77" s="274"/>
      <c r="W77" s="276"/>
      <c r="X77" s="292"/>
    </row>
    <row r="78" spans="1:24" s="18" customFormat="1" ht="19.899999999999999" customHeight="1">
      <c r="A78" s="42"/>
      <c r="B78" s="66"/>
      <c r="C78" s="39"/>
      <c r="D78" s="17"/>
      <c r="E78" s="281"/>
      <c r="F78" s="281"/>
      <c r="G78" s="17"/>
      <c r="H78" s="43"/>
      <c r="V78" s="274"/>
      <c r="W78" s="276"/>
      <c r="X78" s="292"/>
    </row>
    <row r="79" spans="1:24" s="18" customFormat="1" ht="19.899999999999999" customHeight="1">
      <c r="A79" s="42"/>
      <c r="B79" s="66"/>
      <c r="C79" s="39"/>
      <c r="D79" s="17"/>
      <c r="E79" s="281"/>
      <c r="F79" s="281"/>
      <c r="G79" s="17"/>
      <c r="H79" s="43"/>
      <c r="V79" s="274"/>
      <c r="W79" s="276"/>
      <c r="X79" s="292"/>
    </row>
    <row r="80" spans="1:24" s="18" customFormat="1" ht="19.899999999999999" customHeight="1">
      <c r="A80" s="42"/>
      <c r="B80" s="66"/>
      <c r="C80" s="39"/>
      <c r="D80" s="17"/>
      <c r="E80" s="281"/>
      <c r="F80" s="281"/>
      <c r="G80" s="17"/>
      <c r="H80" s="43"/>
      <c r="V80" s="274"/>
      <c r="W80" s="276"/>
      <c r="X80" s="292"/>
    </row>
    <row r="81" spans="1:24" s="18" customFormat="1" ht="19.899999999999999" customHeight="1">
      <c r="A81" s="42"/>
      <c r="B81" s="66"/>
      <c r="C81" s="39"/>
      <c r="D81" s="17"/>
      <c r="E81" s="281"/>
      <c r="F81" s="281"/>
      <c r="G81" s="17"/>
      <c r="H81" s="43"/>
      <c r="V81" s="274"/>
      <c r="W81" s="276"/>
      <c r="X81" s="292"/>
    </row>
    <row r="82" spans="1:24" s="18" customFormat="1" ht="19.899999999999999" customHeight="1">
      <c r="A82" s="42"/>
      <c r="B82" s="66"/>
      <c r="C82" s="39"/>
      <c r="D82" s="17"/>
      <c r="E82" s="281"/>
      <c r="F82" s="281"/>
      <c r="G82" s="17"/>
      <c r="H82" s="43"/>
      <c r="V82" s="274"/>
      <c r="W82" s="276"/>
      <c r="X82" s="292"/>
    </row>
    <row r="83" spans="1:24" s="18" customFormat="1" ht="19.899999999999999" customHeight="1">
      <c r="A83" s="42"/>
      <c r="B83" s="66"/>
      <c r="C83" s="39"/>
      <c r="D83" s="17"/>
      <c r="E83" s="281"/>
      <c r="F83" s="281"/>
      <c r="G83" s="17"/>
      <c r="H83" s="43"/>
      <c r="V83" s="274"/>
      <c r="W83" s="276"/>
      <c r="X83" s="292"/>
    </row>
    <row r="84" spans="1:24" s="18" customFormat="1" ht="19.899999999999999" customHeight="1">
      <c r="A84" s="42"/>
      <c r="B84" s="66"/>
      <c r="C84" s="39"/>
      <c r="D84" s="17"/>
      <c r="E84" s="281"/>
      <c r="F84" s="281"/>
      <c r="G84" s="17"/>
      <c r="H84" s="43"/>
      <c r="V84" s="274"/>
      <c r="W84" s="276"/>
      <c r="X84" s="292"/>
    </row>
    <row r="85" spans="1:24" s="18" customFormat="1" ht="19.899999999999999" customHeight="1">
      <c r="A85" s="42"/>
      <c r="B85" s="66"/>
      <c r="C85" s="39"/>
      <c r="D85" s="17"/>
      <c r="E85" s="281"/>
      <c r="F85" s="281"/>
      <c r="G85" s="17"/>
      <c r="H85" s="43"/>
      <c r="V85" s="274"/>
      <c r="W85" s="276"/>
      <c r="X85" s="292"/>
    </row>
    <row r="86" spans="1:24" s="18" customFormat="1" ht="19.899999999999999" customHeight="1">
      <c r="A86" s="42"/>
      <c r="B86" s="66"/>
      <c r="C86" s="39"/>
      <c r="D86" s="17"/>
      <c r="E86" s="281"/>
      <c r="F86" s="281"/>
      <c r="G86" s="17"/>
      <c r="H86" s="43"/>
      <c r="V86" s="274"/>
      <c r="W86" s="276"/>
      <c r="X86" s="292"/>
    </row>
    <row r="87" spans="1:24" s="18" customFormat="1" ht="19.899999999999999" customHeight="1">
      <c r="A87" s="42"/>
      <c r="B87" s="66"/>
      <c r="C87" s="39"/>
      <c r="D87" s="17"/>
      <c r="E87" s="281"/>
      <c r="F87" s="281"/>
      <c r="G87" s="17"/>
      <c r="H87" s="43"/>
      <c r="V87" s="274"/>
      <c r="W87" s="276"/>
      <c r="X87" s="292"/>
    </row>
    <row r="88" spans="1:24" s="18" customFormat="1" ht="19.899999999999999" customHeight="1">
      <c r="A88" s="42"/>
      <c r="B88" s="66"/>
      <c r="C88" s="39"/>
      <c r="D88" s="17"/>
      <c r="E88" s="281"/>
      <c r="F88" s="281"/>
      <c r="G88" s="17"/>
      <c r="H88" s="43"/>
      <c r="V88" s="274"/>
      <c r="W88" s="276"/>
      <c r="X88" s="292"/>
    </row>
    <row r="89" spans="1:24" s="18" customFormat="1" ht="25.15" customHeight="1">
      <c r="A89" s="42"/>
      <c r="B89" s="66"/>
      <c r="C89" s="39"/>
      <c r="D89" s="17"/>
      <c r="E89" s="281"/>
      <c r="F89" s="281"/>
      <c r="G89" s="17"/>
      <c r="H89" s="43"/>
      <c r="V89" s="274"/>
      <c r="W89" s="276"/>
      <c r="X89" s="292"/>
    </row>
    <row r="90" spans="1:24" s="18" customFormat="1" ht="25.15" customHeight="1">
      <c r="A90" s="42"/>
      <c r="B90" s="66"/>
      <c r="C90" s="39"/>
      <c r="D90" s="17"/>
      <c r="E90" s="281"/>
      <c r="F90" s="281"/>
      <c r="G90" s="17"/>
      <c r="H90" s="43"/>
      <c r="V90" s="274"/>
      <c r="W90" s="276"/>
      <c r="X90" s="292"/>
    </row>
    <row r="91" spans="1:24" s="18" customFormat="1" ht="25.15" customHeight="1">
      <c r="A91" s="42"/>
      <c r="B91" s="66"/>
      <c r="C91" s="39"/>
      <c r="D91" s="17"/>
      <c r="E91" s="281"/>
      <c r="F91" s="281"/>
      <c r="G91" s="17"/>
      <c r="H91" s="43"/>
      <c r="V91" s="274"/>
      <c r="W91" s="276"/>
      <c r="X91" s="292"/>
    </row>
    <row r="92" spans="1:24" s="18" customFormat="1" ht="25.15" customHeight="1">
      <c r="A92" s="42"/>
      <c r="B92" s="66"/>
      <c r="C92" s="39"/>
      <c r="D92" s="17"/>
      <c r="E92" s="281"/>
      <c r="F92" s="281"/>
      <c r="G92" s="17"/>
      <c r="H92" s="43"/>
      <c r="V92" s="274"/>
      <c r="W92" s="276"/>
      <c r="X92" s="292"/>
    </row>
    <row r="93" spans="1:24" s="18" customFormat="1" ht="25.15" customHeight="1">
      <c r="A93" s="42"/>
      <c r="B93" s="66"/>
      <c r="C93" s="39"/>
      <c r="D93" s="17"/>
      <c r="E93" s="281"/>
      <c r="F93" s="281"/>
      <c r="G93" s="17"/>
      <c r="H93" s="46"/>
      <c r="V93" s="274"/>
      <c r="W93" s="276"/>
      <c r="X93" s="292"/>
    </row>
    <row r="94" spans="1:24" s="18" customFormat="1" ht="25.15" customHeight="1">
      <c r="A94" s="42"/>
      <c r="B94" s="66"/>
      <c r="C94" s="39"/>
      <c r="D94" s="17"/>
      <c r="E94" s="281"/>
      <c r="F94" s="281"/>
      <c r="G94" s="17"/>
      <c r="H94" s="46"/>
      <c r="V94" s="274"/>
      <c r="W94" s="276"/>
      <c r="X94" s="292"/>
    </row>
    <row r="95" spans="1:24" s="18" customFormat="1" ht="25.15" customHeight="1">
      <c r="A95" s="42"/>
      <c r="B95" s="66"/>
      <c r="C95" s="39"/>
      <c r="D95" s="17"/>
      <c r="E95" s="281"/>
      <c r="F95" s="281"/>
      <c r="G95" s="17"/>
      <c r="H95" s="46"/>
      <c r="V95" s="274"/>
      <c r="W95" s="276"/>
      <c r="X95" s="292"/>
    </row>
    <row r="96" spans="1:24" s="18" customFormat="1" ht="25.15" customHeight="1">
      <c r="A96" s="42"/>
      <c r="B96" s="66"/>
      <c r="C96" s="39"/>
      <c r="D96" s="285"/>
      <c r="E96" s="286"/>
      <c r="F96" s="286"/>
      <c r="G96" s="285"/>
      <c r="H96" s="22"/>
      <c r="V96" s="274"/>
      <c r="W96" s="276"/>
      <c r="X96" s="292"/>
    </row>
    <row r="97" spans="1:24" s="18" customFormat="1" ht="25.15" customHeight="1">
      <c r="B97" s="66"/>
      <c r="C97" s="39"/>
      <c r="D97" s="3"/>
      <c r="E97" s="287"/>
      <c r="F97" s="287"/>
      <c r="G97" s="3"/>
      <c r="H97" s="22"/>
      <c r="V97" s="274"/>
      <c r="W97" s="276"/>
      <c r="X97" s="292"/>
    </row>
    <row r="98" spans="1:24" s="18" customFormat="1" ht="25.15" customHeight="1">
      <c r="A98" s="30"/>
      <c r="B98" s="66"/>
      <c r="C98" s="39"/>
      <c r="D98" s="288"/>
      <c r="E98" s="11"/>
      <c r="F98" s="11"/>
      <c r="G98" s="3"/>
      <c r="H98" s="22"/>
      <c r="V98" s="274"/>
      <c r="W98" s="276"/>
      <c r="X98" s="292"/>
    </row>
    <row r="99" spans="1:24" s="18" customFormat="1" ht="25.15" customHeight="1">
      <c r="A99" s="13"/>
      <c r="B99" s="66"/>
      <c r="C99" s="39"/>
      <c r="D99" s="36"/>
      <c r="E99" s="11"/>
      <c r="F99" s="11"/>
      <c r="G99" s="3"/>
      <c r="H99" s="22"/>
      <c r="V99" s="274"/>
      <c r="W99" s="276"/>
      <c r="X99" s="292"/>
    </row>
    <row r="100" spans="1:24" s="18" customFormat="1" ht="25.15" customHeight="1">
      <c r="A100" s="11"/>
      <c r="B100" s="66"/>
      <c r="C100" s="39"/>
      <c r="D100" s="36"/>
      <c r="E100" s="11"/>
      <c r="F100" s="11"/>
      <c r="G100" s="3"/>
      <c r="H100" s="22"/>
      <c r="V100" s="274"/>
    </row>
    <row r="101" spans="1:24" s="18" customFormat="1" ht="25.15" customHeight="1">
      <c r="A101" s="11"/>
      <c r="B101" s="66"/>
      <c r="C101" s="39"/>
      <c r="D101" s="36"/>
      <c r="E101" s="11"/>
      <c r="F101" s="11"/>
      <c r="G101" s="3"/>
      <c r="H101" s="22"/>
      <c r="V101" s="274"/>
    </row>
    <row r="102" spans="1:24" s="18" customFormat="1" ht="25.15" customHeight="1">
      <c r="A102" s="11"/>
      <c r="B102" s="68"/>
      <c r="C102" s="11"/>
      <c r="D102" s="12"/>
      <c r="E102" s="11"/>
      <c r="F102" s="11"/>
      <c r="G102" s="3"/>
      <c r="H102" s="22"/>
      <c r="V102" s="274"/>
    </row>
    <row r="103" spans="1:24" s="18" customFormat="1" ht="25.15" customHeight="1">
      <c r="A103" s="11"/>
      <c r="B103" s="68"/>
      <c r="C103" s="11"/>
      <c r="D103" s="12"/>
      <c r="E103" s="11"/>
      <c r="F103" s="11"/>
      <c r="G103" s="3"/>
      <c r="H103" s="22"/>
      <c r="V103" s="274"/>
    </row>
    <row r="104" spans="1:24" s="18" customFormat="1" ht="25.15" customHeight="1">
      <c r="A104" s="11"/>
      <c r="B104" s="68"/>
      <c r="C104" s="11"/>
      <c r="D104" s="12"/>
      <c r="E104" s="11"/>
      <c r="F104" s="11"/>
      <c r="G104" s="3"/>
      <c r="H104" s="22"/>
      <c r="V104" s="274"/>
    </row>
    <row r="105" spans="1:24" s="18" customFormat="1" ht="25.15" customHeight="1">
      <c r="A105" s="11"/>
      <c r="B105" s="68"/>
      <c r="C105" s="11"/>
      <c r="D105" s="12"/>
      <c r="E105" s="11"/>
      <c r="F105" s="11"/>
      <c r="G105" s="3"/>
      <c r="H105" s="22"/>
      <c r="V105" s="274"/>
    </row>
    <row r="106" spans="1:24" s="18" customFormat="1" ht="25.15" customHeight="1">
      <c r="A106" s="11"/>
      <c r="B106" s="68"/>
      <c r="C106" s="11"/>
      <c r="D106" s="12"/>
      <c r="E106" s="11"/>
      <c r="F106" s="11"/>
      <c r="G106" s="3"/>
      <c r="H106" s="22"/>
      <c r="V106" s="274"/>
    </row>
    <row r="107" spans="1:24" s="18" customFormat="1" ht="25.15" customHeight="1">
      <c r="A107" s="11"/>
      <c r="B107" s="68"/>
      <c r="C107" s="11"/>
      <c r="D107" s="12"/>
      <c r="E107" s="11"/>
      <c r="F107" s="11"/>
      <c r="G107" s="3"/>
      <c r="H107" s="22"/>
      <c r="V107" s="274"/>
    </row>
    <row r="108" spans="1:24" ht="15.75">
      <c r="A108" s="11"/>
      <c r="B108" s="68"/>
      <c r="C108" s="11"/>
      <c r="D108" s="12"/>
      <c r="E108" s="11"/>
      <c r="F108" s="11"/>
      <c r="H108" s="22"/>
    </row>
    <row r="109" spans="1:24" ht="15.75">
      <c r="A109" s="11"/>
      <c r="B109" s="68"/>
      <c r="C109" s="11"/>
      <c r="D109" s="12"/>
      <c r="E109" s="11"/>
      <c r="F109" s="11"/>
      <c r="H109" s="22"/>
    </row>
    <row r="110" spans="1:24" ht="15.75">
      <c r="A110" s="11"/>
      <c r="B110" s="68"/>
      <c r="C110" s="11"/>
      <c r="D110" s="12"/>
      <c r="E110" s="11"/>
      <c r="F110" s="11"/>
      <c r="H110" s="20"/>
    </row>
    <row r="111" spans="1:24" ht="15.75">
      <c r="A111" s="11"/>
      <c r="B111" s="68"/>
      <c r="C111" s="11"/>
      <c r="D111" s="12"/>
      <c r="E111" s="11"/>
      <c r="F111" s="11"/>
      <c r="H111" s="20"/>
    </row>
    <row r="112" spans="1:24" ht="15.75">
      <c r="A112" s="11"/>
      <c r="B112" s="68"/>
      <c r="C112" s="11"/>
      <c r="D112" s="12"/>
      <c r="E112" s="11"/>
      <c r="F112" s="11"/>
      <c r="H112" s="20"/>
    </row>
    <row r="113" spans="1:6" ht="15.75">
      <c r="A113" s="11"/>
      <c r="B113" s="68"/>
      <c r="C113" s="11"/>
      <c r="D113" s="12"/>
      <c r="E113" s="11"/>
      <c r="F113" s="11"/>
    </row>
    <row r="114" spans="1:6" ht="15.75">
      <c r="A114" s="11"/>
      <c r="B114" s="68"/>
      <c r="C114" s="11"/>
      <c r="D114" s="12"/>
      <c r="E114" s="11"/>
      <c r="F114" s="11"/>
    </row>
  </sheetData>
  <dataConsolidate/>
  <mergeCells count="19">
    <mergeCell ref="A1:H1"/>
    <mergeCell ref="A2:H2"/>
    <mergeCell ref="A3:H3"/>
    <mergeCell ref="A4:H4"/>
    <mergeCell ref="A5:H5"/>
    <mergeCell ref="D54:F54"/>
    <mergeCell ref="A7:B7"/>
    <mergeCell ref="A9:B9"/>
    <mergeCell ref="A11:B11"/>
    <mergeCell ref="A44:C44"/>
    <mergeCell ref="B50:C50"/>
    <mergeCell ref="F25:G25"/>
    <mergeCell ref="F26:G26"/>
    <mergeCell ref="F40:G40"/>
    <mergeCell ref="D7:E7"/>
    <mergeCell ref="D8:E8"/>
    <mergeCell ref="F27:G27"/>
    <mergeCell ref="F28:G28"/>
    <mergeCell ref="F24:G24"/>
  </mergeCells>
  <dataValidations count="5">
    <dataValidation type="list" allowBlank="1" showInputMessage="1" showErrorMessage="1" sqref="D15:D23" xr:uid="{D987286F-47DA-4EDC-95B3-272F8E44F1A6}">
      <formula1>"Box,Fl"</formula1>
    </dataValidation>
    <dataValidation type="list" allowBlank="1" showInputMessage="1" showErrorMessage="1" sqref="B15:B23" xr:uid="{393B1CD2-1291-46DB-A146-0077CD6B3591}">
      <formula1>$W$3:$W$99</formula1>
    </dataValidation>
    <dataValidation type="list" allowBlank="1" showInputMessage="1" showErrorMessage="1" sqref="B8" xr:uid="{61A3DEA2-D628-4FE3-A250-24254678E79A}">
      <formula1>$S$3:$S$43</formula1>
    </dataValidation>
    <dataValidation type="list" allowBlank="1" showInputMessage="1" showErrorMessage="1" sqref="B12" xr:uid="{53876128-5893-47DE-AFA8-6B7E19F04A06}">
      <formula1>$U$3:$U$21</formula1>
    </dataValidation>
    <dataValidation type="list" allowBlank="1" showInputMessage="1" showErrorMessage="1" sqref="B10" xr:uid="{7A24F77A-C403-460D-9B1A-5C875D4F5EFC}">
      <formula1>$T$3:$T$21</formula1>
    </dataValidation>
  </dataValidations>
  <printOptions horizontalCentered="1"/>
  <pageMargins left="0.59055118110236227" right="0.59055118110236227" top="0.51181102362204722" bottom="0.51181102362204722" header="0" footer="0"/>
  <pageSetup paperSize="9" scale="50" fitToHeight="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E701692-5941-402E-BA9D-548DEA62CE32}">
          <x14:formula1>
            <xm:f>$G$96:$G$113</xm:f>
          </x14:formula1>
          <xm:sqref>WVM983072:WVM983073 JA65585:JA65586 WVM22:WVM24 WLQ22:WLQ24 WBU22:WBU24 VRY22:VRY24 VIC22:VIC24 UYG22:UYG24 UOK22:UOK24 UEO22:UEO24 TUS22:TUS24 TKW22:TKW24 TBA22:TBA24 SRE22:SRE24 SHI22:SHI24 RXM22:RXM24 RNQ22:RNQ24 RDU22:RDU24 QTY22:QTY24 QKC22:QKC24 QAG22:QAG24 PQK22:PQK24 PGO22:PGO24 OWS22:OWS24 OMW22:OMW24 ODA22:ODA24 NTE22:NTE24 NJI22:NJI24 MZM22:MZM24 MPQ22:MPQ24 MFU22:MFU24 LVY22:LVY24 LMC22:LMC24 LCG22:LCG24 KSK22:KSK24 KIO22:KIO24 JYS22:JYS24 JOW22:JOW24 JFA22:JFA24 IVE22:IVE24 ILI22:ILI24 IBM22:IBM24 HRQ22:HRQ24 HHU22:HHU24 GXY22:GXY24 GOC22:GOC24 GEG22:GEG24 FUK22:FUK24 FKO22:FKO24 FAS22:FAS24 EQW22:EQW24 EHA22:EHA24 DXE22:DXE24 DNI22:DNI24 DDM22:DDM24 CTQ22:CTQ24 CJU22:CJU24 BZY22:BZY24 BQC22:BQC24 BGG22:BGG24 AWK22:AWK24 AMO22:AMO24 ACS22:ACS24 SW22:SW24 JA22:JA24 WVM983067:WVM983069 WVM917611:WVM917614 WVM917536:WVM917537 WVM917531:WVM917533 WVM852075:WVM852078 WVM852000:WVM852001 WVM851995:WVM851997 WVM786539:WVM786542 WVM786464:WVM786465 WVM786459:WVM786461 WVM721003:WVM721006 WVM720928:WVM720929 WVM720923:WVM720925 WVM655467:WVM655470 WVM655392:WVM655393 WVM655387:WVM655389 WVM589931:WVM589934 WVM589856:WVM589857 WVM589851:WVM589853 WVM524395:WVM524398 WVM524320:WVM524321 WVM524315:WVM524317 WVM458859:WVM458862 WVM458784:WVM458785 WVM458779:WVM458781 WVM393323:WVM393326 WVM393248:WVM393249 WVM393243:WVM393245 WVM327787:WVM327790 WVM327712:WVM327713 WVM327707:WVM327709 WVM262251:WVM262254 WVM262176:WVM262177 WVM262171:WVM262173 WVM196715:WVM196718 WVM196640:WVM196641 WVM196635:WVM196637 WVM131179:WVM131182 WVM131104:WVM131105 WVM131099:WVM131101 WVM65643:WVM65646 WVM65568:WVM65569 WVM65563:WVM65565 WVM108:WVM110 WLQ983147:WLQ983150 WLQ983072:WLQ983073 WLQ983067:WLQ983069 WLQ917611:WLQ917614 WLQ917536:WLQ917537 WLQ917531:WLQ917533 WLQ852075:WLQ852078 WLQ852000:WLQ852001 WLQ851995:WLQ851997 WLQ786539:WLQ786542 WLQ786464:WLQ786465 WLQ786459:WLQ786461 WLQ721003:WLQ721006 WLQ720928:WLQ720929 WLQ720923:WLQ720925 WLQ655467:WLQ655470 WLQ655392:WLQ655393 WLQ655387:WLQ655389 WLQ589931:WLQ589934 WLQ589856:WLQ589857 WLQ589851:WLQ589853 WLQ524395:WLQ524398 WLQ524320:WLQ524321 WLQ524315:WLQ524317 WLQ458859:WLQ458862 WLQ458784:WLQ458785 WLQ458779:WLQ458781 WLQ393323:WLQ393326 WLQ393248:WLQ393249 WLQ393243:WLQ393245 WLQ327787:WLQ327790 WLQ327712:WLQ327713 WLQ327707:WLQ327709 WLQ262251:WLQ262254 WLQ262176:WLQ262177 WLQ262171:WLQ262173 WLQ196715:WLQ196718 WLQ196640:WLQ196641 WLQ196635:WLQ196637 WLQ131179:WLQ131182 WLQ131104:WLQ131105 WLQ131099:WLQ131101 WLQ65643:WLQ65646 WLQ65568:WLQ65569 WLQ65563:WLQ65565 WLQ108:WLQ110 WBU983147:WBU983150 WBU983072:WBU983073 WBU983067:WBU983069 WBU917611:WBU917614 WBU917536:WBU917537 WBU917531:WBU917533 WBU852075:WBU852078 WBU852000:WBU852001 WBU851995:WBU851997 WBU786539:WBU786542 WBU786464:WBU786465 WBU786459:WBU786461 WBU721003:WBU721006 WBU720928:WBU720929 WBU720923:WBU720925 WBU655467:WBU655470 WBU655392:WBU655393 WBU655387:WBU655389 WBU589931:WBU589934 WBU589856:WBU589857 WBU589851:WBU589853 WBU524395:WBU524398 WBU524320:WBU524321 WBU524315:WBU524317 WBU458859:WBU458862 WBU458784:WBU458785 WBU458779:WBU458781 WBU393323:WBU393326 WBU393248:WBU393249 WBU393243:WBU393245 WBU327787:WBU327790 WBU327712:WBU327713 WBU327707:WBU327709 WBU262251:WBU262254 WBU262176:WBU262177 WBU262171:WBU262173 WBU196715:WBU196718 WBU196640:WBU196641 WBU196635:WBU196637 WBU131179:WBU131182 WBU131104:WBU131105 WBU131099:WBU131101 WBU65643:WBU65646 WBU65568:WBU65569 WBU65563:WBU65565 WBU108:WBU110 VRY983147:VRY983150 VRY983072:VRY983073 VRY983067:VRY983069 VRY917611:VRY917614 VRY917536:VRY917537 VRY917531:VRY917533 VRY852075:VRY852078 VRY852000:VRY852001 VRY851995:VRY851997 VRY786539:VRY786542 VRY786464:VRY786465 VRY786459:VRY786461 VRY721003:VRY721006 VRY720928:VRY720929 VRY720923:VRY720925 VRY655467:VRY655470 VRY655392:VRY655393 VRY655387:VRY655389 VRY589931:VRY589934 VRY589856:VRY589857 VRY589851:VRY589853 VRY524395:VRY524398 VRY524320:VRY524321 VRY524315:VRY524317 VRY458859:VRY458862 VRY458784:VRY458785 VRY458779:VRY458781 VRY393323:VRY393326 VRY393248:VRY393249 VRY393243:VRY393245 VRY327787:VRY327790 VRY327712:VRY327713 VRY327707:VRY327709 VRY262251:VRY262254 VRY262176:VRY262177 VRY262171:VRY262173 VRY196715:VRY196718 VRY196640:VRY196641 VRY196635:VRY196637 VRY131179:VRY131182 VRY131104:VRY131105 VRY131099:VRY131101 VRY65643:VRY65646 VRY65568:VRY65569 VRY65563:VRY65565 VRY108:VRY110 VIC983147:VIC983150 VIC983072:VIC983073 VIC983067:VIC983069 VIC917611:VIC917614 VIC917536:VIC917537 VIC917531:VIC917533 VIC852075:VIC852078 VIC852000:VIC852001 VIC851995:VIC851997 VIC786539:VIC786542 VIC786464:VIC786465 VIC786459:VIC786461 VIC721003:VIC721006 VIC720928:VIC720929 VIC720923:VIC720925 VIC655467:VIC655470 VIC655392:VIC655393 VIC655387:VIC655389 VIC589931:VIC589934 VIC589856:VIC589857 VIC589851:VIC589853 VIC524395:VIC524398 VIC524320:VIC524321 VIC524315:VIC524317 VIC458859:VIC458862 VIC458784:VIC458785 VIC458779:VIC458781 VIC393323:VIC393326 VIC393248:VIC393249 VIC393243:VIC393245 VIC327787:VIC327790 VIC327712:VIC327713 VIC327707:VIC327709 VIC262251:VIC262254 VIC262176:VIC262177 VIC262171:VIC262173 VIC196715:VIC196718 VIC196640:VIC196641 VIC196635:VIC196637 VIC131179:VIC131182 VIC131104:VIC131105 VIC131099:VIC131101 VIC65643:VIC65646 VIC65568:VIC65569 VIC65563:VIC65565 VIC108:VIC110 UYG983147:UYG983150 UYG983072:UYG983073 UYG983067:UYG983069 UYG917611:UYG917614 UYG917536:UYG917537 UYG917531:UYG917533 UYG852075:UYG852078 UYG852000:UYG852001 UYG851995:UYG851997 UYG786539:UYG786542 UYG786464:UYG786465 UYG786459:UYG786461 UYG721003:UYG721006 UYG720928:UYG720929 UYG720923:UYG720925 UYG655467:UYG655470 UYG655392:UYG655393 UYG655387:UYG655389 UYG589931:UYG589934 UYG589856:UYG589857 UYG589851:UYG589853 UYG524395:UYG524398 UYG524320:UYG524321 UYG524315:UYG524317 UYG458859:UYG458862 UYG458784:UYG458785 UYG458779:UYG458781 UYG393323:UYG393326 UYG393248:UYG393249 UYG393243:UYG393245 UYG327787:UYG327790 UYG327712:UYG327713 UYG327707:UYG327709 UYG262251:UYG262254 UYG262176:UYG262177 UYG262171:UYG262173 UYG196715:UYG196718 UYG196640:UYG196641 UYG196635:UYG196637 UYG131179:UYG131182 UYG131104:UYG131105 UYG131099:UYG131101 UYG65643:UYG65646 UYG65568:UYG65569 UYG65563:UYG65565 UYG108:UYG110 UOK983147:UOK983150 UOK983072:UOK983073 UOK983067:UOK983069 UOK917611:UOK917614 UOK917536:UOK917537 UOK917531:UOK917533 UOK852075:UOK852078 UOK852000:UOK852001 UOK851995:UOK851997 UOK786539:UOK786542 UOK786464:UOK786465 UOK786459:UOK786461 UOK721003:UOK721006 UOK720928:UOK720929 UOK720923:UOK720925 UOK655467:UOK655470 UOK655392:UOK655393 UOK655387:UOK655389 UOK589931:UOK589934 UOK589856:UOK589857 UOK589851:UOK589853 UOK524395:UOK524398 UOK524320:UOK524321 UOK524315:UOK524317 UOK458859:UOK458862 UOK458784:UOK458785 UOK458779:UOK458781 UOK393323:UOK393326 UOK393248:UOK393249 UOK393243:UOK393245 UOK327787:UOK327790 UOK327712:UOK327713 UOK327707:UOK327709 UOK262251:UOK262254 UOK262176:UOK262177 UOK262171:UOK262173 UOK196715:UOK196718 UOK196640:UOK196641 UOK196635:UOK196637 UOK131179:UOK131182 UOK131104:UOK131105 UOK131099:UOK131101 UOK65643:UOK65646 UOK65568:UOK65569 UOK65563:UOK65565 UOK108:UOK110 UEO983147:UEO983150 UEO983072:UEO983073 UEO983067:UEO983069 UEO917611:UEO917614 UEO917536:UEO917537 UEO917531:UEO917533 UEO852075:UEO852078 UEO852000:UEO852001 UEO851995:UEO851997 UEO786539:UEO786542 UEO786464:UEO786465 UEO786459:UEO786461 UEO721003:UEO721006 UEO720928:UEO720929 UEO720923:UEO720925 UEO655467:UEO655470 UEO655392:UEO655393 UEO655387:UEO655389 UEO589931:UEO589934 UEO589856:UEO589857 UEO589851:UEO589853 UEO524395:UEO524398 UEO524320:UEO524321 UEO524315:UEO524317 UEO458859:UEO458862 UEO458784:UEO458785 UEO458779:UEO458781 UEO393323:UEO393326 UEO393248:UEO393249 UEO393243:UEO393245 UEO327787:UEO327790 UEO327712:UEO327713 UEO327707:UEO327709 UEO262251:UEO262254 UEO262176:UEO262177 UEO262171:UEO262173 UEO196715:UEO196718 UEO196640:UEO196641 UEO196635:UEO196637 UEO131179:UEO131182 UEO131104:UEO131105 UEO131099:UEO131101 UEO65643:UEO65646 UEO65568:UEO65569 UEO65563:UEO65565 UEO108:UEO110 TUS983147:TUS983150 TUS983072:TUS983073 TUS983067:TUS983069 TUS917611:TUS917614 TUS917536:TUS917537 TUS917531:TUS917533 TUS852075:TUS852078 TUS852000:TUS852001 TUS851995:TUS851997 TUS786539:TUS786542 TUS786464:TUS786465 TUS786459:TUS786461 TUS721003:TUS721006 TUS720928:TUS720929 TUS720923:TUS720925 TUS655467:TUS655470 TUS655392:TUS655393 TUS655387:TUS655389 TUS589931:TUS589934 TUS589856:TUS589857 TUS589851:TUS589853 TUS524395:TUS524398 TUS524320:TUS524321 TUS524315:TUS524317 TUS458859:TUS458862 TUS458784:TUS458785 TUS458779:TUS458781 TUS393323:TUS393326 TUS393248:TUS393249 TUS393243:TUS393245 TUS327787:TUS327790 TUS327712:TUS327713 TUS327707:TUS327709 TUS262251:TUS262254 TUS262176:TUS262177 TUS262171:TUS262173 TUS196715:TUS196718 TUS196640:TUS196641 TUS196635:TUS196637 TUS131179:TUS131182 TUS131104:TUS131105 TUS131099:TUS131101 TUS65643:TUS65646 TUS65568:TUS65569 TUS65563:TUS65565 TUS108:TUS110 TKW983147:TKW983150 TKW983072:TKW983073 TKW983067:TKW983069 TKW917611:TKW917614 TKW917536:TKW917537 TKW917531:TKW917533 TKW852075:TKW852078 TKW852000:TKW852001 TKW851995:TKW851997 TKW786539:TKW786542 TKW786464:TKW786465 TKW786459:TKW786461 TKW721003:TKW721006 TKW720928:TKW720929 TKW720923:TKW720925 TKW655467:TKW655470 TKW655392:TKW655393 TKW655387:TKW655389 TKW589931:TKW589934 TKW589856:TKW589857 TKW589851:TKW589853 TKW524395:TKW524398 TKW524320:TKW524321 TKW524315:TKW524317 TKW458859:TKW458862 TKW458784:TKW458785 TKW458779:TKW458781 TKW393323:TKW393326 TKW393248:TKW393249 TKW393243:TKW393245 TKW327787:TKW327790 TKW327712:TKW327713 TKW327707:TKW327709 TKW262251:TKW262254 TKW262176:TKW262177 TKW262171:TKW262173 TKW196715:TKW196718 TKW196640:TKW196641 TKW196635:TKW196637 TKW131179:TKW131182 TKW131104:TKW131105 TKW131099:TKW131101 TKW65643:TKW65646 TKW65568:TKW65569 TKW65563:TKW65565 TKW108:TKW110 TBA983147:TBA983150 TBA983072:TBA983073 TBA983067:TBA983069 TBA917611:TBA917614 TBA917536:TBA917537 TBA917531:TBA917533 TBA852075:TBA852078 TBA852000:TBA852001 TBA851995:TBA851997 TBA786539:TBA786542 TBA786464:TBA786465 TBA786459:TBA786461 TBA721003:TBA721006 TBA720928:TBA720929 TBA720923:TBA720925 TBA655467:TBA655470 TBA655392:TBA655393 TBA655387:TBA655389 TBA589931:TBA589934 TBA589856:TBA589857 TBA589851:TBA589853 TBA524395:TBA524398 TBA524320:TBA524321 TBA524315:TBA524317 TBA458859:TBA458862 TBA458784:TBA458785 TBA458779:TBA458781 TBA393323:TBA393326 TBA393248:TBA393249 TBA393243:TBA393245 TBA327787:TBA327790 TBA327712:TBA327713 TBA327707:TBA327709 TBA262251:TBA262254 TBA262176:TBA262177 TBA262171:TBA262173 TBA196715:TBA196718 TBA196640:TBA196641 TBA196635:TBA196637 TBA131179:TBA131182 TBA131104:TBA131105 TBA131099:TBA131101 TBA65643:TBA65646 TBA65568:TBA65569 TBA65563:TBA65565 TBA108:TBA110 SRE983147:SRE983150 SRE983072:SRE983073 SRE983067:SRE983069 SRE917611:SRE917614 SRE917536:SRE917537 SRE917531:SRE917533 SRE852075:SRE852078 SRE852000:SRE852001 SRE851995:SRE851997 SRE786539:SRE786542 SRE786464:SRE786465 SRE786459:SRE786461 SRE721003:SRE721006 SRE720928:SRE720929 SRE720923:SRE720925 SRE655467:SRE655470 SRE655392:SRE655393 SRE655387:SRE655389 SRE589931:SRE589934 SRE589856:SRE589857 SRE589851:SRE589853 SRE524395:SRE524398 SRE524320:SRE524321 SRE524315:SRE524317 SRE458859:SRE458862 SRE458784:SRE458785 SRE458779:SRE458781 SRE393323:SRE393326 SRE393248:SRE393249 SRE393243:SRE393245 SRE327787:SRE327790 SRE327712:SRE327713 SRE327707:SRE327709 SRE262251:SRE262254 SRE262176:SRE262177 SRE262171:SRE262173 SRE196715:SRE196718 SRE196640:SRE196641 SRE196635:SRE196637 SRE131179:SRE131182 SRE131104:SRE131105 SRE131099:SRE131101 SRE65643:SRE65646 SRE65568:SRE65569 SRE65563:SRE65565 SRE108:SRE110 SHI983147:SHI983150 SHI983072:SHI983073 SHI983067:SHI983069 SHI917611:SHI917614 SHI917536:SHI917537 SHI917531:SHI917533 SHI852075:SHI852078 SHI852000:SHI852001 SHI851995:SHI851997 SHI786539:SHI786542 SHI786464:SHI786465 SHI786459:SHI786461 SHI721003:SHI721006 SHI720928:SHI720929 SHI720923:SHI720925 SHI655467:SHI655470 SHI655392:SHI655393 SHI655387:SHI655389 SHI589931:SHI589934 SHI589856:SHI589857 SHI589851:SHI589853 SHI524395:SHI524398 SHI524320:SHI524321 SHI524315:SHI524317 SHI458859:SHI458862 SHI458784:SHI458785 SHI458779:SHI458781 SHI393323:SHI393326 SHI393248:SHI393249 SHI393243:SHI393245 SHI327787:SHI327790 SHI327712:SHI327713 SHI327707:SHI327709 SHI262251:SHI262254 SHI262176:SHI262177 SHI262171:SHI262173 SHI196715:SHI196718 SHI196640:SHI196641 SHI196635:SHI196637 SHI131179:SHI131182 SHI131104:SHI131105 SHI131099:SHI131101 SHI65643:SHI65646 SHI65568:SHI65569 SHI65563:SHI65565 SHI108:SHI110 RXM983147:RXM983150 RXM983072:RXM983073 RXM983067:RXM983069 RXM917611:RXM917614 RXM917536:RXM917537 RXM917531:RXM917533 RXM852075:RXM852078 RXM852000:RXM852001 RXM851995:RXM851997 RXM786539:RXM786542 RXM786464:RXM786465 RXM786459:RXM786461 RXM721003:RXM721006 RXM720928:RXM720929 RXM720923:RXM720925 RXM655467:RXM655470 RXM655392:RXM655393 RXM655387:RXM655389 RXM589931:RXM589934 RXM589856:RXM589857 RXM589851:RXM589853 RXM524395:RXM524398 RXM524320:RXM524321 RXM524315:RXM524317 RXM458859:RXM458862 RXM458784:RXM458785 RXM458779:RXM458781 RXM393323:RXM393326 RXM393248:RXM393249 RXM393243:RXM393245 RXM327787:RXM327790 RXM327712:RXM327713 RXM327707:RXM327709 RXM262251:RXM262254 RXM262176:RXM262177 RXM262171:RXM262173 RXM196715:RXM196718 RXM196640:RXM196641 RXM196635:RXM196637 RXM131179:RXM131182 RXM131104:RXM131105 RXM131099:RXM131101 RXM65643:RXM65646 RXM65568:RXM65569 RXM65563:RXM65565 RXM108:RXM110 RNQ983147:RNQ983150 RNQ983072:RNQ983073 RNQ983067:RNQ983069 RNQ917611:RNQ917614 RNQ917536:RNQ917537 RNQ917531:RNQ917533 RNQ852075:RNQ852078 RNQ852000:RNQ852001 RNQ851995:RNQ851997 RNQ786539:RNQ786542 RNQ786464:RNQ786465 RNQ786459:RNQ786461 RNQ721003:RNQ721006 RNQ720928:RNQ720929 RNQ720923:RNQ720925 RNQ655467:RNQ655470 RNQ655392:RNQ655393 RNQ655387:RNQ655389 RNQ589931:RNQ589934 RNQ589856:RNQ589857 RNQ589851:RNQ589853 RNQ524395:RNQ524398 RNQ524320:RNQ524321 RNQ524315:RNQ524317 RNQ458859:RNQ458862 RNQ458784:RNQ458785 RNQ458779:RNQ458781 RNQ393323:RNQ393326 RNQ393248:RNQ393249 RNQ393243:RNQ393245 RNQ327787:RNQ327790 RNQ327712:RNQ327713 RNQ327707:RNQ327709 RNQ262251:RNQ262254 RNQ262176:RNQ262177 RNQ262171:RNQ262173 RNQ196715:RNQ196718 RNQ196640:RNQ196641 RNQ196635:RNQ196637 RNQ131179:RNQ131182 RNQ131104:RNQ131105 RNQ131099:RNQ131101 RNQ65643:RNQ65646 RNQ65568:RNQ65569 RNQ65563:RNQ65565 RNQ108:RNQ110 RDU983147:RDU983150 RDU983072:RDU983073 RDU983067:RDU983069 RDU917611:RDU917614 RDU917536:RDU917537 RDU917531:RDU917533 RDU852075:RDU852078 RDU852000:RDU852001 RDU851995:RDU851997 RDU786539:RDU786542 RDU786464:RDU786465 RDU786459:RDU786461 RDU721003:RDU721006 RDU720928:RDU720929 RDU720923:RDU720925 RDU655467:RDU655470 RDU655392:RDU655393 RDU655387:RDU655389 RDU589931:RDU589934 RDU589856:RDU589857 RDU589851:RDU589853 RDU524395:RDU524398 RDU524320:RDU524321 RDU524315:RDU524317 RDU458859:RDU458862 RDU458784:RDU458785 RDU458779:RDU458781 RDU393323:RDU393326 RDU393248:RDU393249 RDU393243:RDU393245 RDU327787:RDU327790 RDU327712:RDU327713 RDU327707:RDU327709 RDU262251:RDU262254 RDU262176:RDU262177 RDU262171:RDU262173 RDU196715:RDU196718 RDU196640:RDU196641 RDU196635:RDU196637 RDU131179:RDU131182 RDU131104:RDU131105 RDU131099:RDU131101 RDU65643:RDU65646 RDU65568:RDU65569 RDU65563:RDU65565 RDU108:RDU110 QTY983147:QTY983150 QTY983072:QTY983073 QTY983067:QTY983069 QTY917611:QTY917614 QTY917536:QTY917537 QTY917531:QTY917533 QTY852075:QTY852078 QTY852000:QTY852001 QTY851995:QTY851997 QTY786539:QTY786542 QTY786464:QTY786465 QTY786459:QTY786461 QTY721003:QTY721006 QTY720928:QTY720929 QTY720923:QTY720925 QTY655467:QTY655470 QTY655392:QTY655393 QTY655387:QTY655389 QTY589931:QTY589934 QTY589856:QTY589857 QTY589851:QTY589853 QTY524395:QTY524398 QTY524320:QTY524321 QTY524315:QTY524317 QTY458859:QTY458862 QTY458784:QTY458785 QTY458779:QTY458781 QTY393323:QTY393326 QTY393248:QTY393249 QTY393243:QTY393245 QTY327787:QTY327790 QTY327712:QTY327713 QTY327707:QTY327709 QTY262251:QTY262254 QTY262176:QTY262177 QTY262171:QTY262173 QTY196715:QTY196718 QTY196640:QTY196641 QTY196635:QTY196637 QTY131179:QTY131182 QTY131104:QTY131105 QTY131099:QTY131101 QTY65643:QTY65646 QTY65568:QTY65569 QTY65563:QTY65565 QTY108:QTY110 QKC983147:QKC983150 QKC983072:QKC983073 QKC983067:QKC983069 QKC917611:QKC917614 QKC917536:QKC917537 QKC917531:QKC917533 QKC852075:QKC852078 QKC852000:QKC852001 QKC851995:QKC851997 QKC786539:QKC786542 QKC786464:QKC786465 QKC786459:QKC786461 QKC721003:QKC721006 QKC720928:QKC720929 QKC720923:QKC720925 QKC655467:QKC655470 QKC655392:QKC655393 QKC655387:QKC655389 QKC589931:QKC589934 QKC589856:QKC589857 QKC589851:QKC589853 QKC524395:QKC524398 QKC524320:QKC524321 QKC524315:QKC524317 QKC458859:QKC458862 QKC458784:QKC458785 QKC458779:QKC458781 QKC393323:QKC393326 QKC393248:QKC393249 QKC393243:QKC393245 QKC327787:QKC327790 QKC327712:QKC327713 QKC327707:QKC327709 QKC262251:QKC262254 QKC262176:QKC262177 QKC262171:QKC262173 QKC196715:QKC196718 QKC196640:QKC196641 QKC196635:QKC196637 QKC131179:QKC131182 QKC131104:QKC131105 QKC131099:QKC131101 QKC65643:QKC65646 QKC65568:QKC65569 QKC65563:QKC65565 QKC108:QKC110 QAG983147:QAG983150 QAG983072:QAG983073 QAG983067:QAG983069 QAG917611:QAG917614 QAG917536:QAG917537 QAG917531:QAG917533 QAG852075:QAG852078 QAG852000:QAG852001 QAG851995:QAG851997 QAG786539:QAG786542 QAG786464:QAG786465 QAG786459:QAG786461 QAG721003:QAG721006 QAG720928:QAG720929 QAG720923:QAG720925 QAG655467:QAG655470 QAG655392:QAG655393 QAG655387:QAG655389 QAG589931:QAG589934 QAG589856:QAG589857 QAG589851:QAG589853 QAG524395:QAG524398 QAG524320:QAG524321 QAG524315:QAG524317 QAG458859:QAG458862 QAG458784:QAG458785 QAG458779:QAG458781 QAG393323:QAG393326 QAG393248:QAG393249 QAG393243:QAG393245 QAG327787:QAG327790 QAG327712:QAG327713 QAG327707:QAG327709 QAG262251:QAG262254 QAG262176:QAG262177 QAG262171:QAG262173 QAG196715:QAG196718 QAG196640:QAG196641 QAG196635:QAG196637 QAG131179:QAG131182 QAG131104:QAG131105 QAG131099:QAG131101 QAG65643:QAG65646 QAG65568:QAG65569 QAG65563:QAG65565 QAG108:QAG110 PQK983147:PQK983150 PQK983072:PQK983073 PQK983067:PQK983069 PQK917611:PQK917614 PQK917536:PQK917537 PQK917531:PQK917533 PQK852075:PQK852078 PQK852000:PQK852001 PQK851995:PQK851997 PQK786539:PQK786542 PQK786464:PQK786465 PQK786459:PQK786461 PQK721003:PQK721006 PQK720928:PQK720929 PQK720923:PQK720925 PQK655467:PQK655470 PQK655392:PQK655393 PQK655387:PQK655389 PQK589931:PQK589934 PQK589856:PQK589857 PQK589851:PQK589853 PQK524395:PQK524398 PQK524320:PQK524321 PQK524315:PQK524317 PQK458859:PQK458862 PQK458784:PQK458785 PQK458779:PQK458781 PQK393323:PQK393326 PQK393248:PQK393249 PQK393243:PQK393245 PQK327787:PQK327790 PQK327712:PQK327713 PQK327707:PQK327709 PQK262251:PQK262254 PQK262176:PQK262177 PQK262171:PQK262173 PQK196715:PQK196718 PQK196640:PQK196641 PQK196635:PQK196637 PQK131179:PQK131182 PQK131104:PQK131105 PQK131099:PQK131101 PQK65643:PQK65646 PQK65568:PQK65569 PQK65563:PQK65565 PQK108:PQK110 PGO983147:PGO983150 PGO983072:PGO983073 PGO983067:PGO983069 PGO917611:PGO917614 PGO917536:PGO917537 PGO917531:PGO917533 PGO852075:PGO852078 PGO852000:PGO852001 PGO851995:PGO851997 PGO786539:PGO786542 PGO786464:PGO786465 PGO786459:PGO786461 PGO721003:PGO721006 PGO720928:PGO720929 PGO720923:PGO720925 PGO655467:PGO655470 PGO655392:PGO655393 PGO655387:PGO655389 PGO589931:PGO589934 PGO589856:PGO589857 PGO589851:PGO589853 PGO524395:PGO524398 PGO524320:PGO524321 PGO524315:PGO524317 PGO458859:PGO458862 PGO458784:PGO458785 PGO458779:PGO458781 PGO393323:PGO393326 PGO393248:PGO393249 PGO393243:PGO393245 PGO327787:PGO327790 PGO327712:PGO327713 PGO327707:PGO327709 PGO262251:PGO262254 PGO262176:PGO262177 PGO262171:PGO262173 PGO196715:PGO196718 PGO196640:PGO196641 PGO196635:PGO196637 PGO131179:PGO131182 PGO131104:PGO131105 PGO131099:PGO131101 PGO65643:PGO65646 PGO65568:PGO65569 PGO65563:PGO65565 PGO108:PGO110 OWS983147:OWS983150 OWS983072:OWS983073 OWS983067:OWS983069 OWS917611:OWS917614 OWS917536:OWS917537 OWS917531:OWS917533 OWS852075:OWS852078 OWS852000:OWS852001 OWS851995:OWS851997 OWS786539:OWS786542 OWS786464:OWS786465 OWS786459:OWS786461 OWS721003:OWS721006 OWS720928:OWS720929 OWS720923:OWS720925 OWS655467:OWS655470 OWS655392:OWS655393 OWS655387:OWS655389 OWS589931:OWS589934 OWS589856:OWS589857 OWS589851:OWS589853 OWS524395:OWS524398 OWS524320:OWS524321 OWS524315:OWS524317 OWS458859:OWS458862 OWS458784:OWS458785 OWS458779:OWS458781 OWS393323:OWS393326 OWS393248:OWS393249 OWS393243:OWS393245 OWS327787:OWS327790 OWS327712:OWS327713 OWS327707:OWS327709 OWS262251:OWS262254 OWS262176:OWS262177 OWS262171:OWS262173 OWS196715:OWS196718 OWS196640:OWS196641 OWS196635:OWS196637 OWS131179:OWS131182 OWS131104:OWS131105 OWS131099:OWS131101 OWS65643:OWS65646 OWS65568:OWS65569 OWS65563:OWS65565 OWS108:OWS110 OMW983147:OMW983150 OMW983072:OMW983073 OMW983067:OMW983069 OMW917611:OMW917614 OMW917536:OMW917537 OMW917531:OMW917533 OMW852075:OMW852078 OMW852000:OMW852001 OMW851995:OMW851997 OMW786539:OMW786542 OMW786464:OMW786465 OMW786459:OMW786461 OMW721003:OMW721006 OMW720928:OMW720929 OMW720923:OMW720925 OMW655467:OMW655470 OMW655392:OMW655393 OMW655387:OMW655389 OMW589931:OMW589934 OMW589856:OMW589857 OMW589851:OMW589853 OMW524395:OMW524398 OMW524320:OMW524321 OMW524315:OMW524317 OMW458859:OMW458862 OMW458784:OMW458785 OMW458779:OMW458781 OMW393323:OMW393326 OMW393248:OMW393249 OMW393243:OMW393245 OMW327787:OMW327790 OMW327712:OMW327713 OMW327707:OMW327709 OMW262251:OMW262254 OMW262176:OMW262177 OMW262171:OMW262173 OMW196715:OMW196718 OMW196640:OMW196641 OMW196635:OMW196637 OMW131179:OMW131182 OMW131104:OMW131105 OMW131099:OMW131101 OMW65643:OMW65646 OMW65568:OMW65569 OMW65563:OMW65565 OMW108:OMW110 ODA983147:ODA983150 ODA983072:ODA983073 ODA983067:ODA983069 ODA917611:ODA917614 ODA917536:ODA917537 ODA917531:ODA917533 ODA852075:ODA852078 ODA852000:ODA852001 ODA851995:ODA851997 ODA786539:ODA786542 ODA786464:ODA786465 ODA786459:ODA786461 ODA721003:ODA721006 ODA720928:ODA720929 ODA720923:ODA720925 ODA655467:ODA655470 ODA655392:ODA655393 ODA655387:ODA655389 ODA589931:ODA589934 ODA589856:ODA589857 ODA589851:ODA589853 ODA524395:ODA524398 ODA524320:ODA524321 ODA524315:ODA524317 ODA458859:ODA458862 ODA458784:ODA458785 ODA458779:ODA458781 ODA393323:ODA393326 ODA393248:ODA393249 ODA393243:ODA393245 ODA327787:ODA327790 ODA327712:ODA327713 ODA327707:ODA327709 ODA262251:ODA262254 ODA262176:ODA262177 ODA262171:ODA262173 ODA196715:ODA196718 ODA196640:ODA196641 ODA196635:ODA196637 ODA131179:ODA131182 ODA131104:ODA131105 ODA131099:ODA131101 ODA65643:ODA65646 ODA65568:ODA65569 ODA65563:ODA65565 ODA108:ODA110 NTE983147:NTE983150 NTE983072:NTE983073 NTE983067:NTE983069 NTE917611:NTE917614 NTE917536:NTE917537 NTE917531:NTE917533 NTE852075:NTE852078 NTE852000:NTE852001 NTE851995:NTE851997 NTE786539:NTE786542 NTE786464:NTE786465 NTE786459:NTE786461 NTE721003:NTE721006 NTE720928:NTE720929 NTE720923:NTE720925 NTE655467:NTE655470 NTE655392:NTE655393 NTE655387:NTE655389 NTE589931:NTE589934 NTE589856:NTE589857 NTE589851:NTE589853 NTE524395:NTE524398 NTE524320:NTE524321 NTE524315:NTE524317 NTE458859:NTE458862 NTE458784:NTE458785 NTE458779:NTE458781 NTE393323:NTE393326 NTE393248:NTE393249 NTE393243:NTE393245 NTE327787:NTE327790 NTE327712:NTE327713 NTE327707:NTE327709 NTE262251:NTE262254 NTE262176:NTE262177 NTE262171:NTE262173 NTE196715:NTE196718 NTE196640:NTE196641 NTE196635:NTE196637 NTE131179:NTE131182 NTE131104:NTE131105 NTE131099:NTE131101 NTE65643:NTE65646 NTE65568:NTE65569 NTE65563:NTE65565 NTE108:NTE110 NJI983147:NJI983150 NJI983072:NJI983073 NJI983067:NJI983069 NJI917611:NJI917614 NJI917536:NJI917537 NJI917531:NJI917533 NJI852075:NJI852078 NJI852000:NJI852001 NJI851995:NJI851997 NJI786539:NJI786542 NJI786464:NJI786465 NJI786459:NJI786461 NJI721003:NJI721006 NJI720928:NJI720929 NJI720923:NJI720925 NJI655467:NJI655470 NJI655392:NJI655393 NJI655387:NJI655389 NJI589931:NJI589934 NJI589856:NJI589857 NJI589851:NJI589853 NJI524395:NJI524398 NJI524320:NJI524321 NJI524315:NJI524317 NJI458859:NJI458862 NJI458784:NJI458785 NJI458779:NJI458781 NJI393323:NJI393326 NJI393248:NJI393249 NJI393243:NJI393245 NJI327787:NJI327790 NJI327712:NJI327713 NJI327707:NJI327709 NJI262251:NJI262254 NJI262176:NJI262177 NJI262171:NJI262173 NJI196715:NJI196718 NJI196640:NJI196641 NJI196635:NJI196637 NJI131179:NJI131182 NJI131104:NJI131105 NJI131099:NJI131101 NJI65643:NJI65646 NJI65568:NJI65569 NJI65563:NJI65565 NJI108:NJI110 MZM983147:MZM983150 MZM983072:MZM983073 MZM983067:MZM983069 MZM917611:MZM917614 MZM917536:MZM917537 MZM917531:MZM917533 MZM852075:MZM852078 MZM852000:MZM852001 MZM851995:MZM851997 MZM786539:MZM786542 MZM786464:MZM786465 MZM786459:MZM786461 MZM721003:MZM721006 MZM720928:MZM720929 MZM720923:MZM720925 MZM655467:MZM655470 MZM655392:MZM655393 MZM655387:MZM655389 MZM589931:MZM589934 MZM589856:MZM589857 MZM589851:MZM589853 MZM524395:MZM524398 MZM524320:MZM524321 MZM524315:MZM524317 MZM458859:MZM458862 MZM458784:MZM458785 MZM458779:MZM458781 MZM393323:MZM393326 MZM393248:MZM393249 MZM393243:MZM393245 MZM327787:MZM327790 MZM327712:MZM327713 MZM327707:MZM327709 MZM262251:MZM262254 MZM262176:MZM262177 MZM262171:MZM262173 MZM196715:MZM196718 MZM196640:MZM196641 MZM196635:MZM196637 MZM131179:MZM131182 MZM131104:MZM131105 MZM131099:MZM131101 MZM65643:MZM65646 MZM65568:MZM65569 MZM65563:MZM65565 MZM108:MZM110 MPQ983147:MPQ983150 MPQ983072:MPQ983073 MPQ983067:MPQ983069 MPQ917611:MPQ917614 MPQ917536:MPQ917537 MPQ917531:MPQ917533 MPQ852075:MPQ852078 MPQ852000:MPQ852001 MPQ851995:MPQ851997 MPQ786539:MPQ786542 MPQ786464:MPQ786465 MPQ786459:MPQ786461 MPQ721003:MPQ721006 MPQ720928:MPQ720929 MPQ720923:MPQ720925 MPQ655467:MPQ655470 MPQ655392:MPQ655393 MPQ655387:MPQ655389 MPQ589931:MPQ589934 MPQ589856:MPQ589857 MPQ589851:MPQ589853 MPQ524395:MPQ524398 MPQ524320:MPQ524321 MPQ524315:MPQ524317 MPQ458859:MPQ458862 MPQ458784:MPQ458785 MPQ458779:MPQ458781 MPQ393323:MPQ393326 MPQ393248:MPQ393249 MPQ393243:MPQ393245 MPQ327787:MPQ327790 MPQ327712:MPQ327713 MPQ327707:MPQ327709 MPQ262251:MPQ262254 MPQ262176:MPQ262177 MPQ262171:MPQ262173 MPQ196715:MPQ196718 MPQ196640:MPQ196641 MPQ196635:MPQ196637 MPQ131179:MPQ131182 MPQ131104:MPQ131105 MPQ131099:MPQ131101 MPQ65643:MPQ65646 MPQ65568:MPQ65569 MPQ65563:MPQ65565 MPQ108:MPQ110 MFU983147:MFU983150 MFU983072:MFU983073 MFU983067:MFU983069 MFU917611:MFU917614 MFU917536:MFU917537 MFU917531:MFU917533 MFU852075:MFU852078 MFU852000:MFU852001 MFU851995:MFU851997 MFU786539:MFU786542 MFU786464:MFU786465 MFU786459:MFU786461 MFU721003:MFU721006 MFU720928:MFU720929 MFU720923:MFU720925 MFU655467:MFU655470 MFU655392:MFU655393 MFU655387:MFU655389 MFU589931:MFU589934 MFU589856:MFU589857 MFU589851:MFU589853 MFU524395:MFU524398 MFU524320:MFU524321 MFU524315:MFU524317 MFU458859:MFU458862 MFU458784:MFU458785 MFU458779:MFU458781 MFU393323:MFU393326 MFU393248:MFU393249 MFU393243:MFU393245 MFU327787:MFU327790 MFU327712:MFU327713 MFU327707:MFU327709 MFU262251:MFU262254 MFU262176:MFU262177 MFU262171:MFU262173 MFU196715:MFU196718 MFU196640:MFU196641 MFU196635:MFU196637 MFU131179:MFU131182 MFU131104:MFU131105 MFU131099:MFU131101 MFU65643:MFU65646 MFU65568:MFU65569 MFU65563:MFU65565 MFU108:MFU110 LVY983147:LVY983150 LVY983072:LVY983073 LVY983067:LVY983069 LVY917611:LVY917614 LVY917536:LVY917537 LVY917531:LVY917533 LVY852075:LVY852078 LVY852000:LVY852001 LVY851995:LVY851997 LVY786539:LVY786542 LVY786464:LVY786465 LVY786459:LVY786461 LVY721003:LVY721006 LVY720928:LVY720929 LVY720923:LVY720925 LVY655467:LVY655470 LVY655392:LVY655393 LVY655387:LVY655389 LVY589931:LVY589934 LVY589856:LVY589857 LVY589851:LVY589853 LVY524395:LVY524398 LVY524320:LVY524321 LVY524315:LVY524317 LVY458859:LVY458862 LVY458784:LVY458785 LVY458779:LVY458781 LVY393323:LVY393326 LVY393248:LVY393249 LVY393243:LVY393245 LVY327787:LVY327790 LVY327712:LVY327713 LVY327707:LVY327709 LVY262251:LVY262254 LVY262176:LVY262177 LVY262171:LVY262173 LVY196715:LVY196718 LVY196640:LVY196641 LVY196635:LVY196637 LVY131179:LVY131182 LVY131104:LVY131105 LVY131099:LVY131101 LVY65643:LVY65646 LVY65568:LVY65569 LVY65563:LVY65565 LVY108:LVY110 LMC983147:LMC983150 LMC983072:LMC983073 LMC983067:LMC983069 LMC917611:LMC917614 LMC917536:LMC917537 LMC917531:LMC917533 LMC852075:LMC852078 LMC852000:LMC852001 LMC851995:LMC851997 LMC786539:LMC786542 LMC786464:LMC786465 LMC786459:LMC786461 LMC721003:LMC721006 LMC720928:LMC720929 LMC720923:LMC720925 LMC655467:LMC655470 LMC655392:LMC655393 LMC655387:LMC655389 LMC589931:LMC589934 LMC589856:LMC589857 LMC589851:LMC589853 LMC524395:LMC524398 LMC524320:LMC524321 LMC524315:LMC524317 LMC458859:LMC458862 LMC458784:LMC458785 LMC458779:LMC458781 LMC393323:LMC393326 LMC393248:LMC393249 LMC393243:LMC393245 LMC327787:LMC327790 LMC327712:LMC327713 LMC327707:LMC327709 LMC262251:LMC262254 LMC262176:LMC262177 LMC262171:LMC262173 LMC196715:LMC196718 LMC196640:LMC196641 LMC196635:LMC196637 LMC131179:LMC131182 LMC131104:LMC131105 LMC131099:LMC131101 LMC65643:LMC65646 LMC65568:LMC65569 LMC65563:LMC65565 LMC108:LMC110 LCG983147:LCG983150 LCG983072:LCG983073 LCG983067:LCG983069 LCG917611:LCG917614 LCG917536:LCG917537 LCG917531:LCG917533 LCG852075:LCG852078 LCG852000:LCG852001 LCG851995:LCG851997 LCG786539:LCG786542 LCG786464:LCG786465 LCG786459:LCG786461 LCG721003:LCG721006 LCG720928:LCG720929 LCG720923:LCG720925 LCG655467:LCG655470 LCG655392:LCG655393 LCG655387:LCG655389 LCG589931:LCG589934 LCG589856:LCG589857 LCG589851:LCG589853 LCG524395:LCG524398 LCG524320:LCG524321 LCG524315:LCG524317 LCG458859:LCG458862 LCG458784:LCG458785 LCG458779:LCG458781 LCG393323:LCG393326 LCG393248:LCG393249 LCG393243:LCG393245 LCG327787:LCG327790 LCG327712:LCG327713 LCG327707:LCG327709 LCG262251:LCG262254 LCG262176:LCG262177 LCG262171:LCG262173 LCG196715:LCG196718 LCG196640:LCG196641 LCG196635:LCG196637 LCG131179:LCG131182 LCG131104:LCG131105 LCG131099:LCG131101 LCG65643:LCG65646 LCG65568:LCG65569 LCG65563:LCG65565 LCG108:LCG110 KSK983147:KSK983150 KSK983072:KSK983073 KSK983067:KSK983069 KSK917611:KSK917614 KSK917536:KSK917537 KSK917531:KSK917533 KSK852075:KSK852078 KSK852000:KSK852001 KSK851995:KSK851997 KSK786539:KSK786542 KSK786464:KSK786465 KSK786459:KSK786461 KSK721003:KSK721006 KSK720928:KSK720929 KSK720923:KSK720925 KSK655467:KSK655470 KSK655392:KSK655393 KSK655387:KSK655389 KSK589931:KSK589934 KSK589856:KSK589857 KSK589851:KSK589853 KSK524395:KSK524398 KSK524320:KSK524321 KSK524315:KSK524317 KSK458859:KSK458862 KSK458784:KSK458785 KSK458779:KSK458781 KSK393323:KSK393326 KSK393248:KSK393249 KSK393243:KSK393245 KSK327787:KSK327790 KSK327712:KSK327713 KSK327707:KSK327709 KSK262251:KSK262254 KSK262176:KSK262177 KSK262171:KSK262173 KSK196715:KSK196718 KSK196640:KSK196641 KSK196635:KSK196637 KSK131179:KSK131182 KSK131104:KSK131105 KSK131099:KSK131101 KSK65643:KSK65646 KSK65568:KSK65569 KSK65563:KSK65565 KSK108:KSK110 KIO983147:KIO983150 KIO983072:KIO983073 KIO983067:KIO983069 KIO917611:KIO917614 KIO917536:KIO917537 KIO917531:KIO917533 KIO852075:KIO852078 KIO852000:KIO852001 KIO851995:KIO851997 KIO786539:KIO786542 KIO786464:KIO786465 KIO786459:KIO786461 KIO721003:KIO721006 KIO720928:KIO720929 KIO720923:KIO720925 KIO655467:KIO655470 KIO655392:KIO655393 KIO655387:KIO655389 KIO589931:KIO589934 KIO589856:KIO589857 KIO589851:KIO589853 KIO524395:KIO524398 KIO524320:KIO524321 KIO524315:KIO524317 KIO458859:KIO458862 KIO458784:KIO458785 KIO458779:KIO458781 KIO393323:KIO393326 KIO393248:KIO393249 KIO393243:KIO393245 KIO327787:KIO327790 KIO327712:KIO327713 KIO327707:KIO327709 KIO262251:KIO262254 KIO262176:KIO262177 KIO262171:KIO262173 KIO196715:KIO196718 KIO196640:KIO196641 KIO196635:KIO196637 KIO131179:KIO131182 KIO131104:KIO131105 KIO131099:KIO131101 KIO65643:KIO65646 KIO65568:KIO65569 KIO65563:KIO65565 KIO108:KIO110 JYS983147:JYS983150 JYS983072:JYS983073 JYS983067:JYS983069 JYS917611:JYS917614 JYS917536:JYS917537 JYS917531:JYS917533 JYS852075:JYS852078 JYS852000:JYS852001 JYS851995:JYS851997 JYS786539:JYS786542 JYS786464:JYS786465 JYS786459:JYS786461 JYS721003:JYS721006 JYS720928:JYS720929 JYS720923:JYS720925 JYS655467:JYS655470 JYS655392:JYS655393 JYS655387:JYS655389 JYS589931:JYS589934 JYS589856:JYS589857 JYS589851:JYS589853 JYS524395:JYS524398 JYS524320:JYS524321 JYS524315:JYS524317 JYS458859:JYS458862 JYS458784:JYS458785 JYS458779:JYS458781 JYS393323:JYS393326 JYS393248:JYS393249 JYS393243:JYS393245 JYS327787:JYS327790 JYS327712:JYS327713 JYS327707:JYS327709 JYS262251:JYS262254 JYS262176:JYS262177 JYS262171:JYS262173 JYS196715:JYS196718 JYS196640:JYS196641 JYS196635:JYS196637 JYS131179:JYS131182 JYS131104:JYS131105 JYS131099:JYS131101 JYS65643:JYS65646 JYS65568:JYS65569 JYS65563:JYS65565 JYS108:JYS110 JOW983147:JOW983150 JOW983072:JOW983073 JOW983067:JOW983069 JOW917611:JOW917614 JOW917536:JOW917537 JOW917531:JOW917533 JOW852075:JOW852078 JOW852000:JOW852001 JOW851995:JOW851997 JOW786539:JOW786542 JOW786464:JOW786465 JOW786459:JOW786461 JOW721003:JOW721006 JOW720928:JOW720929 JOW720923:JOW720925 JOW655467:JOW655470 JOW655392:JOW655393 JOW655387:JOW655389 JOW589931:JOW589934 JOW589856:JOW589857 JOW589851:JOW589853 JOW524395:JOW524398 JOW524320:JOW524321 JOW524315:JOW524317 JOW458859:JOW458862 JOW458784:JOW458785 JOW458779:JOW458781 JOW393323:JOW393326 JOW393248:JOW393249 JOW393243:JOW393245 JOW327787:JOW327790 JOW327712:JOW327713 JOW327707:JOW327709 JOW262251:JOW262254 JOW262176:JOW262177 JOW262171:JOW262173 JOW196715:JOW196718 JOW196640:JOW196641 JOW196635:JOW196637 JOW131179:JOW131182 JOW131104:JOW131105 JOW131099:JOW131101 JOW65643:JOW65646 JOW65568:JOW65569 JOW65563:JOW65565 JOW108:JOW110 JFA983147:JFA983150 JFA983072:JFA983073 JFA983067:JFA983069 JFA917611:JFA917614 JFA917536:JFA917537 JFA917531:JFA917533 JFA852075:JFA852078 JFA852000:JFA852001 JFA851995:JFA851997 JFA786539:JFA786542 JFA786464:JFA786465 JFA786459:JFA786461 JFA721003:JFA721006 JFA720928:JFA720929 JFA720923:JFA720925 JFA655467:JFA655470 JFA655392:JFA655393 JFA655387:JFA655389 JFA589931:JFA589934 JFA589856:JFA589857 JFA589851:JFA589853 JFA524395:JFA524398 JFA524320:JFA524321 JFA524315:JFA524317 JFA458859:JFA458862 JFA458784:JFA458785 JFA458779:JFA458781 JFA393323:JFA393326 JFA393248:JFA393249 JFA393243:JFA393245 JFA327787:JFA327790 JFA327712:JFA327713 JFA327707:JFA327709 JFA262251:JFA262254 JFA262176:JFA262177 JFA262171:JFA262173 JFA196715:JFA196718 JFA196640:JFA196641 JFA196635:JFA196637 JFA131179:JFA131182 JFA131104:JFA131105 JFA131099:JFA131101 JFA65643:JFA65646 JFA65568:JFA65569 JFA65563:JFA65565 JFA108:JFA110 IVE983147:IVE983150 IVE983072:IVE983073 IVE983067:IVE983069 IVE917611:IVE917614 IVE917536:IVE917537 IVE917531:IVE917533 IVE852075:IVE852078 IVE852000:IVE852001 IVE851995:IVE851997 IVE786539:IVE786542 IVE786464:IVE786465 IVE786459:IVE786461 IVE721003:IVE721006 IVE720928:IVE720929 IVE720923:IVE720925 IVE655467:IVE655470 IVE655392:IVE655393 IVE655387:IVE655389 IVE589931:IVE589934 IVE589856:IVE589857 IVE589851:IVE589853 IVE524395:IVE524398 IVE524320:IVE524321 IVE524315:IVE524317 IVE458859:IVE458862 IVE458784:IVE458785 IVE458779:IVE458781 IVE393323:IVE393326 IVE393248:IVE393249 IVE393243:IVE393245 IVE327787:IVE327790 IVE327712:IVE327713 IVE327707:IVE327709 IVE262251:IVE262254 IVE262176:IVE262177 IVE262171:IVE262173 IVE196715:IVE196718 IVE196640:IVE196641 IVE196635:IVE196637 IVE131179:IVE131182 IVE131104:IVE131105 IVE131099:IVE131101 IVE65643:IVE65646 IVE65568:IVE65569 IVE65563:IVE65565 IVE108:IVE110 ILI983147:ILI983150 ILI983072:ILI983073 ILI983067:ILI983069 ILI917611:ILI917614 ILI917536:ILI917537 ILI917531:ILI917533 ILI852075:ILI852078 ILI852000:ILI852001 ILI851995:ILI851997 ILI786539:ILI786542 ILI786464:ILI786465 ILI786459:ILI786461 ILI721003:ILI721006 ILI720928:ILI720929 ILI720923:ILI720925 ILI655467:ILI655470 ILI655392:ILI655393 ILI655387:ILI655389 ILI589931:ILI589934 ILI589856:ILI589857 ILI589851:ILI589853 ILI524395:ILI524398 ILI524320:ILI524321 ILI524315:ILI524317 ILI458859:ILI458862 ILI458784:ILI458785 ILI458779:ILI458781 ILI393323:ILI393326 ILI393248:ILI393249 ILI393243:ILI393245 ILI327787:ILI327790 ILI327712:ILI327713 ILI327707:ILI327709 ILI262251:ILI262254 ILI262176:ILI262177 ILI262171:ILI262173 ILI196715:ILI196718 ILI196640:ILI196641 ILI196635:ILI196637 ILI131179:ILI131182 ILI131104:ILI131105 ILI131099:ILI131101 ILI65643:ILI65646 ILI65568:ILI65569 ILI65563:ILI65565 ILI108:ILI110 IBM983147:IBM983150 IBM983072:IBM983073 IBM983067:IBM983069 IBM917611:IBM917614 IBM917536:IBM917537 IBM917531:IBM917533 IBM852075:IBM852078 IBM852000:IBM852001 IBM851995:IBM851997 IBM786539:IBM786542 IBM786464:IBM786465 IBM786459:IBM786461 IBM721003:IBM721006 IBM720928:IBM720929 IBM720923:IBM720925 IBM655467:IBM655470 IBM655392:IBM655393 IBM655387:IBM655389 IBM589931:IBM589934 IBM589856:IBM589857 IBM589851:IBM589853 IBM524395:IBM524398 IBM524320:IBM524321 IBM524315:IBM524317 IBM458859:IBM458862 IBM458784:IBM458785 IBM458779:IBM458781 IBM393323:IBM393326 IBM393248:IBM393249 IBM393243:IBM393245 IBM327787:IBM327790 IBM327712:IBM327713 IBM327707:IBM327709 IBM262251:IBM262254 IBM262176:IBM262177 IBM262171:IBM262173 IBM196715:IBM196718 IBM196640:IBM196641 IBM196635:IBM196637 IBM131179:IBM131182 IBM131104:IBM131105 IBM131099:IBM131101 IBM65643:IBM65646 IBM65568:IBM65569 IBM65563:IBM65565 IBM108:IBM110 HRQ983147:HRQ983150 HRQ983072:HRQ983073 HRQ983067:HRQ983069 HRQ917611:HRQ917614 HRQ917536:HRQ917537 HRQ917531:HRQ917533 HRQ852075:HRQ852078 HRQ852000:HRQ852001 HRQ851995:HRQ851997 HRQ786539:HRQ786542 HRQ786464:HRQ786465 HRQ786459:HRQ786461 HRQ721003:HRQ721006 HRQ720928:HRQ720929 HRQ720923:HRQ720925 HRQ655467:HRQ655470 HRQ655392:HRQ655393 HRQ655387:HRQ655389 HRQ589931:HRQ589934 HRQ589856:HRQ589857 HRQ589851:HRQ589853 HRQ524395:HRQ524398 HRQ524320:HRQ524321 HRQ524315:HRQ524317 HRQ458859:HRQ458862 HRQ458784:HRQ458785 HRQ458779:HRQ458781 HRQ393323:HRQ393326 HRQ393248:HRQ393249 HRQ393243:HRQ393245 HRQ327787:HRQ327790 HRQ327712:HRQ327713 HRQ327707:HRQ327709 HRQ262251:HRQ262254 HRQ262176:HRQ262177 HRQ262171:HRQ262173 HRQ196715:HRQ196718 HRQ196640:HRQ196641 HRQ196635:HRQ196637 HRQ131179:HRQ131182 HRQ131104:HRQ131105 HRQ131099:HRQ131101 HRQ65643:HRQ65646 HRQ65568:HRQ65569 HRQ65563:HRQ65565 HRQ108:HRQ110 HHU983147:HHU983150 HHU983072:HHU983073 HHU983067:HHU983069 HHU917611:HHU917614 HHU917536:HHU917537 HHU917531:HHU917533 HHU852075:HHU852078 HHU852000:HHU852001 HHU851995:HHU851997 HHU786539:HHU786542 HHU786464:HHU786465 HHU786459:HHU786461 HHU721003:HHU721006 HHU720928:HHU720929 HHU720923:HHU720925 HHU655467:HHU655470 HHU655392:HHU655393 HHU655387:HHU655389 HHU589931:HHU589934 HHU589856:HHU589857 HHU589851:HHU589853 HHU524395:HHU524398 HHU524320:HHU524321 HHU524315:HHU524317 HHU458859:HHU458862 HHU458784:HHU458785 HHU458779:HHU458781 HHU393323:HHU393326 HHU393248:HHU393249 HHU393243:HHU393245 HHU327787:HHU327790 HHU327712:HHU327713 HHU327707:HHU327709 HHU262251:HHU262254 HHU262176:HHU262177 HHU262171:HHU262173 HHU196715:HHU196718 HHU196640:HHU196641 HHU196635:HHU196637 HHU131179:HHU131182 HHU131104:HHU131105 HHU131099:HHU131101 HHU65643:HHU65646 HHU65568:HHU65569 HHU65563:HHU65565 HHU108:HHU110 GXY983147:GXY983150 GXY983072:GXY983073 GXY983067:GXY983069 GXY917611:GXY917614 GXY917536:GXY917537 GXY917531:GXY917533 GXY852075:GXY852078 GXY852000:GXY852001 GXY851995:GXY851997 GXY786539:GXY786542 GXY786464:GXY786465 GXY786459:GXY786461 GXY721003:GXY721006 GXY720928:GXY720929 GXY720923:GXY720925 GXY655467:GXY655470 GXY655392:GXY655393 GXY655387:GXY655389 GXY589931:GXY589934 GXY589856:GXY589857 GXY589851:GXY589853 GXY524395:GXY524398 GXY524320:GXY524321 GXY524315:GXY524317 GXY458859:GXY458862 GXY458784:GXY458785 GXY458779:GXY458781 GXY393323:GXY393326 GXY393248:GXY393249 GXY393243:GXY393245 GXY327787:GXY327790 GXY327712:GXY327713 GXY327707:GXY327709 GXY262251:GXY262254 GXY262176:GXY262177 GXY262171:GXY262173 GXY196715:GXY196718 GXY196640:GXY196641 GXY196635:GXY196637 GXY131179:GXY131182 GXY131104:GXY131105 GXY131099:GXY131101 GXY65643:GXY65646 GXY65568:GXY65569 GXY65563:GXY65565 GXY108:GXY110 GOC983147:GOC983150 GOC983072:GOC983073 GOC983067:GOC983069 GOC917611:GOC917614 GOC917536:GOC917537 GOC917531:GOC917533 GOC852075:GOC852078 GOC852000:GOC852001 GOC851995:GOC851997 GOC786539:GOC786542 GOC786464:GOC786465 GOC786459:GOC786461 GOC721003:GOC721006 GOC720928:GOC720929 GOC720923:GOC720925 GOC655467:GOC655470 GOC655392:GOC655393 GOC655387:GOC655389 GOC589931:GOC589934 GOC589856:GOC589857 GOC589851:GOC589853 GOC524395:GOC524398 GOC524320:GOC524321 GOC524315:GOC524317 GOC458859:GOC458862 GOC458784:GOC458785 GOC458779:GOC458781 GOC393323:GOC393326 GOC393248:GOC393249 GOC393243:GOC393245 GOC327787:GOC327790 GOC327712:GOC327713 GOC327707:GOC327709 GOC262251:GOC262254 GOC262176:GOC262177 GOC262171:GOC262173 GOC196715:GOC196718 GOC196640:GOC196641 GOC196635:GOC196637 GOC131179:GOC131182 GOC131104:GOC131105 GOC131099:GOC131101 GOC65643:GOC65646 GOC65568:GOC65569 GOC65563:GOC65565 GOC108:GOC110 GEG983147:GEG983150 GEG983072:GEG983073 GEG983067:GEG983069 GEG917611:GEG917614 GEG917536:GEG917537 GEG917531:GEG917533 GEG852075:GEG852078 GEG852000:GEG852001 GEG851995:GEG851997 GEG786539:GEG786542 GEG786464:GEG786465 GEG786459:GEG786461 GEG721003:GEG721006 GEG720928:GEG720929 GEG720923:GEG720925 GEG655467:GEG655470 GEG655392:GEG655393 GEG655387:GEG655389 GEG589931:GEG589934 GEG589856:GEG589857 GEG589851:GEG589853 GEG524395:GEG524398 GEG524320:GEG524321 GEG524315:GEG524317 GEG458859:GEG458862 GEG458784:GEG458785 GEG458779:GEG458781 GEG393323:GEG393326 GEG393248:GEG393249 GEG393243:GEG393245 GEG327787:GEG327790 GEG327712:GEG327713 GEG327707:GEG327709 GEG262251:GEG262254 GEG262176:GEG262177 GEG262171:GEG262173 GEG196715:GEG196718 GEG196640:GEG196641 GEG196635:GEG196637 GEG131179:GEG131182 GEG131104:GEG131105 GEG131099:GEG131101 GEG65643:GEG65646 GEG65568:GEG65569 GEG65563:GEG65565 GEG108:GEG110 FUK983147:FUK983150 FUK983072:FUK983073 FUK983067:FUK983069 FUK917611:FUK917614 FUK917536:FUK917537 FUK917531:FUK917533 FUK852075:FUK852078 FUK852000:FUK852001 FUK851995:FUK851997 FUK786539:FUK786542 FUK786464:FUK786465 FUK786459:FUK786461 FUK721003:FUK721006 FUK720928:FUK720929 FUK720923:FUK720925 FUK655467:FUK655470 FUK655392:FUK655393 FUK655387:FUK655389 FUK589931:FUK589934 FUK589856:FUK589857 FUK589851:FUK589853 FUK524395:FUK524398 FUK524320:FUK524321 FUK524315:FUK524317 FUK458859:FUK458862 FUK458784:FUK458785 FUK458779:FUK458781 FUK393323:FUK393326 FUK393248:FUK393249 FUK393243:FUK393245 FUK327787:FUK327790 FUK327712:FUK327713 FUK327707:FUK327709 FUK262251:FUK262254 FUK262176:FUK262177 FUK262171:FUK262173 FUK196715:FUK196718 FUK196640:FUK196641 FUK196635:FUK196637 FUK131179:FUK131182 FUK131104:FUK131105 FUK131099:FUK131101 FUK65643:FUK65646 FUK65568:FUK65569 FUK65563:FUK65565 FUK108:FUK110 FKO983147:FKO983150 FKO983072:FKO983073 FKO983067:FKO983069 FKO917611:FKO917614 FKO917536:FKO917537 FKO917531:FKO917533 FKO852075:FKO852078 FKO852000:FKO852001 FKO851995:FKO851997 FKO786539:FKO786542 FKO786464:FKO786465 FKO786459:FKO786461 FKO721003:FKO721006 FKO720928:FKO720929 FKO720923:FKO720925 FKO655467:FKO655470 FKO655392:FKO655393 FKO655387:FKO655389 FKO589931:FKO589934 FKO589856:FKO589857 FKO589851:FKO589853 FKO524395:FKO524398 FKO524320:FKO524321 FKO524315:FKO524317 FKO458859:FKO458862 FKO458784:FKO458785 FKO458779:FKO458781 FKO393323:FKO393326 FKO393248:FKO393249 FKO393243:FKO393245 FKO327787:FKO327790 FKO327712:FKO327713 FKO327707:FKO327709 FKO262251:FKO262254 FKO262176:FKO262177 FKO262171:FKO262173 FKO196715:FKO196718 FKO196640:FKO196641 FKO196635:FKO196637 FKO131179:FKO131182 FKO131104:FKO131105 FKO131099:FKO131101 FKO65643:FKO65646 FKO65568:FKO65569 FKO65563:FKO65565 FKO108:FKO110 FAS983147:FAS983150 FAS983072:FAS983073 FAS983067:FAS983069 FAS917611:FAS917614 FAS917536:FAS917537 FAS917531:FAS917533 FAS852075:FAS852078 FAS852000:FAS852001 FAS851995:FAS851997 FAS786539:FAS786542 FAS786464:FAS786465 FAS786459:FAS786461 FAS721003:FAS721006 FAS720928:FAS720929 FAS720923:FAS720925 FAS655467:FAS655470 FAS655392:FAS655393 FAS655387:FAS655389 FAS589931:FAS589934 FAS589856:FAS589857 FAS589851:FAS589853 FAS524395:FAS524398 FAS524320:FAS524321 FAS524315:FAS524317 FAS458859:FAS458862 FAS458784:FAS458785 FAS458779:FAS458781 FAS393323:FAS393326 FAS393248:FAS393249 FAS393243:FAS393245 FAS327787:FAS327790 FAS327712:FAS327713 FAS327707:FAS327709 FAS262251:FAS262254 FAS262176:FAS262177 FAS262171:FAS262173 FAS196715:FAS196718 FAS196640:FAS196641 FAS196635:FAS196637 FAS131179:FAS131182 FAS131104:FAS131105 FAS131099:FAS131101 FAS65643:FAS65646 FAS65568:FAS65569 FAS65563:FAS65565 FAS108:FAS110 EQW983147:EQW983150 EQW983072:EQW983073 EQW983067:EQW983069 EQW917611:EQW917614 EQW917536:EQW917537 EQW917531:EQW917533 EQW852075:EQW852078 EQW852000:EQW852001 EQW851995:EQW851997 EQW786539:EQW786542 EQW786464:EQW786465 EQW786459:EQW786461 EQW721003:EQW721006 EQW720928:EQW720929 EQW720923:EQW720925 EQW655467:EQW655470 EQW655392:EQW655393 EQW655387:EQW655389 EQW589931:EQW589934 EQW589856:EQW589857 EQW589851:EQW589853 EQW524395:EQW524398 EQW524320:EQW524321 EQW524315:EQW524317 EQW458859:EQW458862 EQW458784:EQW458785 EQW458779:EQW458781 EQW393323:EQW393326 EQW393248:EQW393249 EQW393243:EQW393245 EQW327787:EQW327790 EQW327712:EQW327713 EQW327707:EQW327709 EQW262251:EQW262254 EQW262176:EQW262177 EQW262171:EQW262173 EQW196715:EQW196718 EQW196640:EQW196641 EQW196635:EQW196637 EQW131179:EQW131182 EQW131104:EQW131105 EQW131099:EQW131101 EQW65643:EQW65646 EQW65568:EQW65569 EQW65563:EQW65565 EQW108:EQW110 EHA983147:EHA983150 EHA983072:EHA983073 EHA983067:EHA983069 EHA917611:EHA917614 EHA917536:EHA917537 EHA917531:EHA917533 EHA852075:EHA852078 EHA852000:EHA852001 EHA851995:EHA851997 EHA786539:EHA786542 EHA786464:EHA786465 EHA786459:EHA786461 EHA721003:EHA721006 EHA720928:EHA720929 EHA720923:EHA720925 EHA655467:EHA655470 EHA655392:EHA655393 EHA655387:EHA655389 EHA589931:EHA589934 EHA589856:EHA589857 EHA589851:EHA589853 EHA524395:EHA524398 EHA524320:EHA524321 EHA524315:EHA524317 EHA458859:EHA458862 EHA458784:EHA458785 EHA458779:EHA458781 EHA393323:EHA393326 EHA393248:EHA393249 EHA393243:EHA393245 EHA327787:EHA327790 EHA327712:EHA327713 EHA327707:EHA327709 EHA262251:EHA262254 EHA262176:EHA262177 EHA262171:EHA262173 EHA196715:EHA196718 EHA196640:EHA196641 EHA196635:EHA196637 EHA131179:EHA131182 EHA131104:EHA131105 EHA131099:EHA131101 EHA65643:EHA65646 EHA65568:EHA65569 EHA65563:EHA65565 EHA108:EHA110 DXE983147:DXE983150 DXE983072:DXE983073 DXE983067:DXE983069 DXE917611:DXE917614 DXE917536:DXE917537 DXE917531:DXE917533 DXE852075:DXE852078 DXE852000:DXE852001 DXE851995:DXE851997 DXE786539:DXE786542 DXE786464:DXE786465 DXE786459:DXE786461 DXE721003:DXE721006 DXE720928:DXE720929 DXE720923:DXE720925 DXE655467:DXE655470 DXE655392:DXE655393 DXE655387:DXE655389 DXE589931:DXE589934 DXE589856:DXE589857 DXE589851:DXE589853 DXE524395:DXE524398 DXE524320:DXE524321 DXE524315:DXE524317 DXE458859:DXE458862 DXE458784:DXE458785 DXE458779:DXE458781 DXE393323:DXE393326 DXE393248:DXE393249 DXE393243:DXE393245 DXE327787:DXE327790 DXE327712:DXE327713 DXE327707:DXE327709 DXE262251:DXE262254 DXE262176:DXE262177 DXE262171:DXE262173 DXE196715:DXE196718 DXE196640:DXE196641 DXE196635:DXE196637 DXE131179:DXE131182 DXE131104:DXE131105 DXE131099:DXE131101 DXE65643:DXE65646 DXE65568:DXE65569 DXE65563:DXE65565 DXE108:DXE110 DNI983147:DNI983150 DNI983072:DNI983073 DNI983067:DNI983069 DNI917611:DNI917614 DNI917536:DNI917537 DNI917531:DNI917533 DNI852075:DNI852078 DNI852000:DNI852001 DNI851995:DNI851997 DNI786539:DNI786542 DNI786464:DNI786465 DNI786459:DNI786461 DNI721003:DNI721006 DNI720928:DNI720929 DNI720923:DNI720925 DNI655467:DNI655470 DNI655392:DNI655393 DNI655387:DNI655389 DNI589931:DNI589934 DNI589856:DNI589857 DNI589851:DNI589853 DNI524395:DNI524398 DNI524320:DNI524321 DNI524315:DNI524317 DNI458859:DNI458862 DNI458784:DNI458785 DNI458779:DNI458781 DNI393323:DNI393326 DNI393248:DNI393249 DNI393243:DNI393245 DNI327787:DNI327790 DNI327712:DNI327713 DNI327707:DNI327709 DNI262251:DNI262254 DNI262176:DNI262177 DNI262171:DNI262173 DNI196715:DNI196718 DNI196640:DNI196641 DNI196635:DNI196637 DNI131179:DNI131182 DNI131104:DNI131105 DNI131099:DNI131101 DNI65643:DNI65646 DNI65568:DNI65569 DNI65563:DNI65565 DNI108:DNI110 DDM983147:DDM983150 DDM983072:DDM983073 DDM983067:DDM983069 DDM917611:DDM917614 DDM917536:DDM917537 DDM917531:DDM917533 DDM852075:DDM852078 DDM852000:DDM852001 DDM851995:DDM851997 DDM786539:DDM786542 DDM786464:DDM786465 DDM786459:DDM786461 DDM721003:DDM721006 DDM720928:DDM720929 DDM720923:DDM720925 DDM655467:DDM655470 DDM655392:DDM655393 DDM655387:DDM655389 DDM589931:DDM589934 DDM589856:DDM589857 DDM589851:DDM589853 DDM524395:DDM524398 DDM524320:DDM524321 DDM524315:DDM524317 DDM458859:DDM458862 DDM458784:DDM458785 DDM458779:DDM458781 DDM393323:DDM393326 DDM393248:DDM393249 DDM393243:DDM393245 DDM327787:DDM327790 DDM327712:DDM327713 DDM327707:DDM327709 DDM262251:DDM262254 DDM262176:DDM262177 DDM262171:DDM262173 DDM196715:DDM196718 DDM196640:DDM196641 DDM196635:DDM196637 DDM131179:DDM131182 DDM131104:DDM131105 DDM131099:DDM131101 DDM65643:DDM65646 DDM65568:DDM65569 DDM65563:DDM65565 DDM108:DDM110 CTQ983147:CTQ983150 CTQ983072:CTQ983073 CTQ983067:CTQ983069 CTQ917611:CTQ917614 CTQ917536:CTQ917537 CTQ917531:CTQ917533 CTQ852075:CTQ852078 CTQ852000:CTQ852001 CTQ851995:CTQ851997 CTQ786539:CTQ786542 CTQ786464:CTQ786465 CTQ786459:CTQ786461 CTQ721003:CTQ721006 CTQ720928:CTQ720929 CTQ720923:CTQ720925 CTQ655467:CTQ655470 CTQ655392:CTQ655393 CTQ655387:CTQ655389 CTQ589931:CTQ589934 CTQ589856:CTQ589857 CTQ589851:CTQ589853 CTQ524395:CTQ524398 CTQ524320:CTQ524321 CTQ524315:CTQ524317 CTQ458859:CTQ458862 CTQ458784:CTQ458785 CTQ458779:CTQ458781 CTQ393323:CTQ393326 CTQ393248:CTQ393249 CTQ393243:CTQ393245 CTQ327787:CTQ327790 CTQ327712:CTQ327713 CTQ327707:CTQ327709 CTQ262251:CTQ262254 CTQ262176:CTQ262177 CTQ262171:CTQ262173 CTQ196715:CTQ196718 CTQ196640:CTQ196641 CTQ196635:CTQ196637 CTQ131179:CTQ131182 CTQ131104:CTQ131105 CTQ131099:CTQ131101 CTQ65643:CTQ65646 CTQ65568:CTQ65569 CTQ65563:CTQ65565 CTQ108:CTQ110 CJU983147:CJU983150 CJU983072:CJU983073 CJU983067:CJU983069 CJU917611:CJU917614 CJU917536:CJU917537 CJU917531:CJU917533 CJU852075:CJU852078 CJU852000:CJU852001 CJU851995:CJU851997 CJU786539:CJU786542 CJU786464:CJU786465 CJU786459:CJU786461 CJU721003:CJU721006 CJU720928:CJU720929 CJU720923:CJU720925 CJU655467:CJU655470 CJU655392:CJU655393 CJU655387:CJU655389 CJU589931:CJU589934 CJU589856:CJU589857 CJU589851:CJU589853 CJU524395:CJU524398 CJU524320:CJU524321 CJU524315:CJU524317 CJU458859:CJU458862 CJU458784:CJU458785 CJU458779:CJU458781 CJU393323:CJU393326 CJU393248:CJU393249 CJU393243:CJU393245 CJU327787:CJU327790 CJU327712:CJU327713 CJU327707:CJU327709 CJU262251:CJU262254 CJU262176:CJU262177 CJU262171:CJU262173 CJU196715:CJU196718 CJU196640:CJU196641 CJU196635:CJU196637 CJU131179:CJU131182 CJU131104:CJU131105 CJU131099:CJU131101 CJU65643:CJU65646 CJU65568:CJU65569 CJU65563:CJU65565 CJU108:CJU110 BZY983147:BZY983150 BZY983072:BZY983073 BZY983067:BZY983069 BZY917611:BZY917614 BZY917536:BZY917537 BZY917531:BZY917533 BZY852075:BZY852078 BZY852000:BZY852001 BZY851995:BZY851997 BZY786539:BZY786542 BZY786464:BZY786465 BZY786459:BZY786461 BZY721003:BZY721006 BZY720928:BZY720929 BZY720923:BZY720925 BZY655467:BZY655470 BZY655392:BZY655393 BZY655387:BZY655389 BZY589931:BZY589934 BZY589856:BZY589857 BZY589851:BZY589853 BZY524395:BZY524398 BZY524320:BZY524321 BZY524315:BZY524317 BZY458859:BZY458862 BZY458784:BZY458785 BZY458779:BZY458781 BZY393323:BZY393326 BZY393248:BZY393249 BZY393243:BZY393245 BZY327787:BZY327790 BZY327712:BZY327713 BZY327707:BZY327709 BZY262251:BZY262254 BZY262176:BZY262177 BZY262171:BZY262173 BZY196715:BZY196718 BZY196640:BZY196641 BZY196635:BZY196637 BZY131179:BZY131182 BZY131104:BZY131105 BZY131099:BZY131101 BZY65643:BZY65646 BZY65568:BZY65569 BZY65563:BZY65565 BZY108:BZY110 BQC983147:BQC983150 BQC983072:BQC983073 BQC983067:BQC983069 BQC917611:BQC917614 BQC917536:BQC917537 BQC917531:BQC917533 BQC852075:BQC852078 BQC852000:BQC852001 BQC851995:BQC851997 BQC786539:BQC786542 BQC786464:BQC786465 BQC786459:BQC786461 BQC721003:BQC721006 BQC720928:BQC720929 BQC720923:BQC720925 BQC655467:BQC655470 BQC655392:BQC655393 BQC655387:BQC655389 BQC589931:BQC589934 BQC589856:BQC589857 BQC589851:BQC589853 BQC524395:BQC524398 BQC524320:BQC524321 BQC524315:BQC524317 BQC458859:BQC458862 BQC458784:BQC458785 BQC458779:BQC458781 BQC393323:BQC393326 BQC393248:BQC393249 BQC393243:BQC393245 BQC327787:BQC327790 BQC327712:BQC327713 BQC327707:BQC327709 BQC262251:BQC262254 BQC262176:BQC262177 BQC262171:BQC262173 BQC196715:BQC196718 BQC196640:BQC196641 BQC196635:BQC196637 BQC131179:BQC131182 BQC131104:BQC131105 BQC131099:BQC131101 BQC65643:BQC65646 BQC65568:BQC65569 BQC65563:BQC65565 BQC108:BQC110 BGG983147:BGG983150 BGG983072:BGG983073 BGG983067:BGG983069 BGG917611:BGG917614 BGG917536:BGG917537 BGG917531:BGG917533 BGG852075:BGG852078 BGG852000:BGG852001 BGG851995:BGG851997 BGG786539:BGG786542 BGG786464:BGG786465 BGG786459:BGG786461 BGG721003:BGG721006 BGG720928:BGG720929 BGG720923:BGG720925 BGG655467:BGG655470 BGG655392:BGG655393 BGG655387:BGG655389 BGG589931:BGG589934 BGG589856:BGG589857 BGG589851:BGG589853 BGG524395:BGG524398 BGG524320:BGG524321 BGG524315:BGG524317 BGG458859:BGG458862 BGG458784:BGG458785 BGG458779:BGG458781 BGG393323:BGG393326 BGG393248:BGG393249 BGG393243:BGG393245 BGG327787:BGG327790 BGG327712:BGG327713 BGG327707:BGG327709 BGG262251:BGG262254 BGG262176:BGG262177 BGG262171:BGG262173 BGG196715:BGG196718 BGG196640:BGG196641 BGG196635:BGG196637 BGG131179:BGG131182 BGG131104:BGG131105 BGG131099:BGG131101 BGG65643:BGG65646 BGG65568:BGG65569 BGG65563:BGG65565 BGG108:BGG110 AWK983147:AWK983150 AWK983072:AWK983073 AWK983067:AWK983069 AWK917611:AWK917614 AWK917536:AWK917537 AWK917531:AWK917533 AWK852075:AWK852078 AWK852000:AWK852001 AWK851995:AWK851997 AWK786539:AWK786542 AWK786464:AWK786465 AWK786459:AWK786461 AWK721003:AWK721006 AWK720928:AWK720929 AWK720923:AWK720925 AWK655467:AWK655470 AWK655392:AWK655393 AWK655387:AWK655389 AWK589931:AWK589934 AWK589856:AWK589857 AWK589851:AWK589853 AWK524395:AWK524398 AWK524320:AWK524321 AWK524315:AWK524317 AWK458859:AWK458862 AWK458784:AWK458785 AWK458779:AWK458781 AWK393323:AWK393326 AWK393248:AWK393249 AWK393243:AWK393245 AWK327787:AWK327790 AWK327712:AWK327713 AWK327707:AWK327709 AWK262251:AWK262254 AWK262176:AWK262177 AWK262171:AWK262173 AWK196715:AWK196718 AWK196640:AWK196641 AWK196635:AWK196637 AWK131179:AWK131182 AWK131104:AWK131105 AWK131099:AWK131101 AWK65643:AWK65646 AWK65568:AWK65569 AWK65563:AWK65565 AWK108:AWK110 AMO983147:AMO983150 AMO983072:AMO983073 AMO983067:AMO983069 AMO917611:AMO917614 AMO917536:AMO917537 AMO917531:AMO917533 AMO852075:AMO852078 AMO852000:AMO852001 AMO851995:AMO851997 AMO786539:AMO786542 AMO786464:AMO786465 AMO786459:AMO786461 AMO721003:AMO721006 AMO720928:AMO720929 AMO720923:AMO720925 AMO655467:AMO655470 AMO655392:AMO655393 AMO655387:AMO655389 AMO589931:AMO589934 AMO589856:AMO589857 AMO589851:AMO589853 AMO524395:AMO524398 AMO524320:AMO524321 AMO524315:AMO524317 AMO458859:AMO458862 AMO458784:AMO458785 AMO458779:AMO458781 AMO393323:AMO393326 AMO393248:AMO393249 AMO393243:AMO393245 AMO327787:AMO327790 AMO327712:AMO327713 AMO327707:AMO327709 AMO262251:AMO262254 AMO262176:AMO262177 AMO262171:AMO262173 AMO196715:AMO196718 AMO196640:AMO196641 AMO196635:AMO196637 AMO131179:AMO131182 AMO131104:AMO131105 AMO131099:AMO131101 AMO65643:AMO65646 AMO65568:AMO65569 AMO65563:AMO65565 AMO108:AMO110 ACS983147:ACS983150 ACS983072:ACS983073 ACS983067:ACS983069 ACS917611:ACS917614 ACS917536:ACS917537 ACS917531:ACS917533 ACS852075:ACS852078 ACS852000:ACS852001 ACS851995:ACS851997 ACS786539:ACS786542 ACS786464:ACS786465 ACS786459:ACS786461 ACS721003:ACS721006 ACS720928:ACS720929 ACS720923:ACS720925 ACS655467:ACS655470 ACS655392:ACS655393 ACS655387:ACS655389 ACS589931:ACS589934 ACS589856:ACS589857 ACS589851:ACS589853 ACS524395:ACS524398 ACS524320:ACS524321 ACS524315:ACS524317 ACS458859:ACS458862 ACS458784:ACS458785 ACS458779:ACS458781 ACS393323:ACS393326 ACS393248:ACS393249 ACS393243:ACS393245 ACS327787:ACS327790 ACS327712:ACS327713 ACS327707:ACS327709 ACS262251:ACS262254 ACS262176:ACS262177 ACS262171:ACS262173 ACS196715:ACS196718 ACS196640:ACS196641 ACS196635:ACS196637 ACS131179:ACS131182 ACS131104:ACS131105 ACS131099:ACS131101 ACS65643:ACS65646 ACS65568:ACS65569 ACS65563:ACS65565 ACS108:ACS110 SW983147:SW983150 SW983072:SW983073 SW983067:SW983069 SW917611:SW917614 SW917536:SW917537 SW917531:SW917533 SW852075:SW852078 SW852000:SW852001 SW851995:SW851997 SW786539:SW786542 SW786464:SW786465 SW786459:SW786461 SW721003:SW721006 SW720928:SW720929 SW720923:SW720925 SW655467:SW655470 SW655392:SW655393 SW655387:SW655389 SW589931:SW589934 SW589856:SW589857 SW589851:SW589853 SW524395:SW524398 SW524320:SW524321 SW524315:SW524317 SW458859:SW458862 SW458784:SW458785 SW458779:SW458781 SW393323:SW393326 SW393248:SW393249 SW393243:SW393245 SW327787:SW327790 SW327712:SW327713 SW327707:SW327709 SW262251:SW262254 SW262176:SW262177 SW262171:SW262173 SW196715:SW196718 SW196640:SW196641 SW196635:SW196637 SW131179:SW131182 SW131104:SW131105 SW131099:SW131101 SW65643:SW65646 SW65568:SW65569 SW65563:SW65565 SW108:SW110 JA983147:JA983150 JA983072:JA983073 JA983067:JA983069 JA917611:JA917614 JA917536:JA917537 JA917531:JA917533 JA852075:JA852078 JA852000:JA852001 JA851995:JA851997 JA786539:JA786542 JA786464:JA786465 JA786459:JA786461 JA721003:JA721006 JA720928:JA720929 JA720923:JA720925 JA655467:JA655470 JA655392:JA655393 JA655387:JA655389 JA589931:JA589934 JA589856:JA589857 JA589851:JA589853 JA524395:JA524398 JA524320:JA524321 JA524315:JA524317 JA458859:JA458862 JA458784:JA458785 JA458779:JA458781 JA393323:JA393326 JA393248:JA393249 JA393243:JA393245 JA327787:JA327790 JA327712:JA327713 JA327707:JA327709 JA262251:JA262254 JA262176:JA262177 JA262171:JA262173 JA196715:JA196718 JA196640:JA196641 JA196635:JA196637 JA131179:JA131182 JA131104:JA131105 JA131099:JA131101 JA65643:JA65646 JA65568:JA65569 JA65563:JA65565 JA108:JA110 WVM983092:WVM983097 WLQ983092:WLQ983097 WBU983092:WBU983097 VRY983092:VRY983097 VIC983092:VIC983097 UYG983092:UYG983097 UOK983092:UOK983097 UEO983092:UEO983097 TUS983092:TUS983097 TKW983092:TKW983097 TBA983092:TBA983097 SRE983092:SRE983097 SHI983092:SHI983097 RXM983092:RXM983097 RNQ983092:RNQ983097 RDU983092:RDU983097 QTY983092:QTY983097 QKC983092:QKC983097 QAG983092:QAG983097 PQK983092:PQK983097 PGO983092:PGO983097 OWS983092:OWS983097 OMW983092:OMW983097 ODA983092:ODA983097 NTE983092:NTE983097 NJI983092:NJI983097 MZM983092:MZM983097 MPQ983092:MPQ983097 MFU983092:MFU983097 LVY983092:LVY983097 LMC983092:LMC983097 LCG983092:LCG983097 KSK983092:KSK983097 KIO983092:KIO983097 JYS983092:JYS983097 JOW983092:JOW983097 JFA983092:JFA983097 IVE983092:IVE983097 ILI983092:ILI983097 IBM983092:IBM983097 HRQ983092:HRQ983097 HHU983092:HHU983097 GXY983092:GXY983097 GOC983092:GOC983097 GEG983092:GEG983097 FUK983092:FUK983097 FKO983092:FKO983097 FAS983092:FAS983097 EQW983092:EQW983097 EHA983092:EHA983097 DXE983092:DXE983097 DNI983092:DNI983097 DDM983092:DDM983097 CTQ983092:CTQ983097 CJU983092:CJU983097 BZY983092:BZY983097 BQC983092:BQC983097 BGG983092:BGG983097 AWK983092:AWK983097 AMO983092:AMO983097 ACS983092:ACS983097 SW983092:SW983097 JA983092:JA983097 WVM983083 WLQ983083 WBU983083 VRY983083 VIC983083 UYG983083 UOK983083 UEO983083 TUS983083 TKW983083 TBA983083 SRE983083 SHI983083 RXM983083 RNQ983083 RDU983083 QTY983083 QKC983083 QAG983083 PQK983083 PGO983083 OWS983083 OMW983083 ODA983083 NTE983083 NJI983083 MZM983083 MPQ983083 MFU983083 LVY983083 LMC983083 LCG983083 KSK983083 KIO983083 JYS983083 JOW983083 JFA983083 IVE983083 ILI983083 IBM983083 HRQ983083 HHU983083 GXY983083 GOC983083 GEG983083 FUK983083 FKO983083 FAS983083 EQW983083 EHA983083 DXE983083 DNI983083 DDM983083 CTQ983083 CJU983083 BZY983083 BQC983083 BGG983083 AWK983083 AMO983083 ACS983083 SW983083 JA983083 WVM983081 WLQ983081 WBU983081 VRY983081 VIC983081 UYG983081 UOK983081 UEO983081 TUS983081 TKW983081 TBA983081 SRE983081 SHI983081 RXM983081 RNQ983081 RDU983081 QTY983081 QKC983081 QAG983081 PQK983081 PGO983081 OWS983081 OMW983081 ODA983081 NTE983081 NJI983081 MZM983081 MPQ983081 MFU983081 LVY983081 LMC983081 LCG983081 KSK983081 KIO983081 JYS983081 JOW983081 JFA983081 IVE983081 ILI983081 IBM983081 HRQ983081 HHU983081 GXY983081 GOC983081 GEG983081 FUK983081 FKO983081 FAS983081 EQW983081 EHA983081 DXE983081 DNI983081 DDM983081 CTQ983081 CJU983081 BZY983081 BQC983081 BGG983081 AWK983081 AMO983081 ACS983081 SW983081 JA983081 WVM983077 WLQ983077 WBU983077 VRY983077 VIC983077 UYG983077 UOK983077 UEO983077 TUS983077 TKW983077 TBA983077 SRE983077 SHI983077 RXM983077 RNQ983077 RDU983077 QTY983077 QKC983077 QAG983077 PQK983077 PGO983077 OWS983077 OMW983077 ODA983077 NTE983077 NJI983077 MZM983077 MPQ983077 MFU983077 LVY983077 LMC983077 LCG983077 KSK983077 KIO983077 JYS983077 JOW983077 JFA983077 IVE983077 ILI983077 IBM983077 HRQ983077 HHU983077 GXY983077 GOC983077 GEG983077 FUK983077 FKO983077 FAS983077 EQW983077 EHA983077 DXE983077 DNI983077 DDM983077 CTQ983077 CJU983077 BZY983077 BQC983077 BGG983077 AWK983077 AMO983077 ACS983077 SW983077 JA983077 WVM983075 WLQ983075 WBU983075 VRY983075 VIC983075 UYG983075 UOK983075 UEO983075 TUS983075 TKW983075 TBA983075 SRE983075 SHI983075 RXM983075 RNQ983075 RDU983075 QTY983075 QKC983075 QAG983075 PQK983075 PGO983075 OWS983075 OMW983075 ODA983075 NTE983075 NJI983075 MZM983075 MPQ983075 MFU983075 LVY983075 LMC983075 LCG983075 KSK983075 KIO983075 JYS983075 JOW983075 JFA983075 IVE983075 ILI983075 IBM983075 HRQ983075 HHU983075 GXY983075 GOC983075 GEG983075 FUK983075 FKO983075 FAS983075 EQW983075 EHA983075 DXE983075 DNI983075 DDM983075 CTQ983075 CJU983075 BZY983075 BQC983075 BGG983075 AWK983075 AMO983075 ACS983075 SW983075 JA983075 WVM917556:WVM917561 WLQ917556:WLQ917561 WBU917556:WBU917561 VRY917556:VRY917561 VIC917556:VIC917561 UYG917556:UYG917561 UOK917556:UOK917561 UEO917556:UEO917561 TUS917556:TUS917561 TKW917556:TKW917561 TBA917556:TBA917561 SRE917556:SRE917561 SHI917556:SHI917561 RXM917556:RXM917561 RNQ917556:RNQ917561 RDU917556:RDU917561 QTY917556:QTY917561 QKC917556:QKC917561 QAG917556:QAG917561 PQK917556:PQK917561 PGO917556:PGO917561 OWS917556:OWS917561 OMW917556:OMW917561 ODA917556:ODA917561 NTE917556:NTE917561 NJI917556:NJI917561 MZM917556:MZM917561 MPQ917556:MPQ917561 MFU917556:MFU917561 LVY917556:LVY917561 LMC917556:LMC917561 LCG917556:LCG917561 KSK917556:KSK917561 KIO917556:KIO917561 JYS917556:JYS917561 JOW917556:JOW917561 JFA917556:JFA917561 IVE917556:IVE917561 ILI917556:ILI917561 IBM917556:IBM917561 HRQ917556:HRQ917561 HHU917556:HHU917561 GXY917556:GXY917561 GOC917556:GOC917561 GEG917556:GEG917561 FUK917556:FUK917561 FKO917556:FKO917561 FAS917556:FAS917561 EQW917556:EQW917561 EHA917556:EHA917561 DXE917556:DXE917561 DNI917556:DNI917561 DDM917556:DDM917561 CTQ917556:CTQ917561 CJU917556:CJU917561 BZY917556:BZY917561 BQC917556:BQC917561 BGG917556:BGG917561 AWK917556:AWK917561 AMO917556:AMO917561 ACS917556:ACS917561 SW917556:SW917561 JA917556:JA917561 WVM917547 WLQ917547 WBU917547 VRY917547 VIC917547 UYG917547 UOK917547 UEO917547 TUS917547 TKW917547 TBA917547 SRE917547 SHI917547 RXM917547 RNQ917547 RDU917547 QTY917547 QKC917547 QAG917547 PQK917547 PGO917547 OWS917547 OMW917547 ODA917547 NTE917547 NJI917547 MZM917547 MPQ917547 MFU917547 LVY917547 LMC917547 LCG917547 KSK917547 KIO917547 JYS917547 JOW917547 JFA917547 IVE917547 ILI917547 IBM917547 HRQ917547 HHU917547 GXY917547 GOC917547 GEG917547 FUK917547 FKO917547 FAS917547 EQW917547 EHA917547 DXE917547 DNI917547 DDM917547 CTQ917547 CJU917547 BZY917547 BQC917547 BGG917547 AWK917547 AMO917547 ACS917547 SW917547 JA917547 WVM917545 WLQ917545 WBU917545 VRY917545 VIC917545 UYG917545 UOK917545 UEO917545 TUS917545 TKW917545 TBA917545 SRE917545 SHI917545 RXM917545 RNQ917545 RDU917545 QTY917545 QKC917545 QAG917545 PQK917545 PGO917545 OWS917545 OMW917545 ODA917545 NTE917545 NJI917545 MZM917545 MPQ917545 MFU917545 LVY917545 LMC917545 LCG917545 KSK917545 KIO917545 JYS917545 JOW917545 JFA917545 IVE917545 ILI917545 IBM917545 HRQ917545 HHU917545 GXY917545 GOC917545 GEG917545 FUK917545 FKO917545 FAS917545 EQW917545 EHA917545 DXE917545 DNI917545 DDM917545 CTQ917545 CJU917545 BZY917545 BQC917545 BGG917545 AWK917545 AMO917545 ACS917545 SW917545 JA917545 WVM917541 WLQ917541 WBU917541 VRY917541 VIC917541 UYG917541 UOK917541 UEO917541 TUS917541 TKW917541 TBA917541 SRE917541 SHI917541 RXM917541 RNQ917541 RDU917541 QTY917541 QKC917541 QAG917541 PQK917541 PGO917541 OWS917541 OMW917541 ODA917541 NTE917541 NJI917541 MZM917541 MPQ917541 MFU917541 LVY917541 LMC917541 LCG917541 KSK917541 KIO917541 JYS917541 JOW917541 JFA917541 IVE917541 ILI917541 IBM917541 HRQ917541 HHU917541 GXY917541 GOC917541 GEG917541 FUK917541 FKO917541 FAS917541 EQW917541 EHA917541 DXE917541 DNI917541 DDM917541 CTQ917541 CJU917541 BZY917541 BQC917541 BGG917541 AWK917541 AMO917541 ACS917541 SW917541 JA917541 WVM917539 WLQ917539 WBU917539 VRY917539 VIC917539 UYG917539 UOK917539 UEO917539 TUS917539 TKW917539 TBA917539 SRE917539 SHI917539 RXM917539 RNQ917539 RDU917539 QTY917539 QKC917539 QAG917539 PQK917539 PGO917539 OWS917539 OMW917539 ODA917539 NTE917539 NJI917539 MZM917539 MPQ917539 MFU917539 LVY917539 LMC917539 LCG917539 KSK917539 KIO917539 JYS917539 JOW917539 JFA917539 IVE917539 ILI917539 IBM917539 HRQ917539 HHU917539 GXY917539 GOC917539 GEG917539 FUK917539 FKO917539 FAS917539 EQW917539 EHA917539 DXE917539 DNI917539 DDM917539 CTQ917539 CJU917539 BZY917539 BQC917539 BGG917539 AWK917539 AMO917539 ACS917539 SW917539 JA917539 WVM852020:WVM852025 WLQ852020:WLQ852025 WBU852020:WBU852025 VRY852020:VRY852025 VIC852020:VIC852025 UYG852020:UYG852025 UOK852020:UOK852025 UEO852020:UEO852025 TUS852020:TUS852025 TKW852020:TKW852025 TBA852020:TBA852025 SRE852020:SRE852025 SHI852020:SHI852025 RXM852020:RXM852025 RNQ852020:RNQ852025 RDU852020:RDU852025 QTY852020:QTY852025 QKC852020:QKC852025 QAG852020:QAG852025 PQK852020:PQK852025 PGO852020:PGO852025 OWS852020:OWS852025 OMW852020:OMW852025 ODA852020:ODA852025 NTE852020:NTE852025 NJI852020:NJI852025 MZM852020:MZM852025 MPQ852020:MPQ852025 MFU852020:MFU852025 LVY852020:LVY852025 LMC852020:LMC852025 LCG852020:LCG852025 KSK852020:KSK852025 KIO852020:KIO852025 JYS852020:JYS852025 JOW852020:JOW852025 JFA852020:JFA852025 IVE852020:IVE852025 ILI852020:ILI852025 IBM852020:IBM852025 HRQ852020:HRQ852025 HHU852020:HHU852025 GXY852020:GXY852025 GOC852020:GOC852025 GEG852020:GEG852025 FUK852020:FUK852025 FKO852020:FKO852025 FAS852020:FAS852025 EQW852020:EQW852025 EHA852020:EHA852025 DXE852020:DXE852025 DNI852020:DNI852025 DDM852020:DDM852025 CTQ852020:CTQ852025 CJU852020:CJU852025 BZY852020:BZY852025 BQC852020:BQC852025 BGG852020:BGG852025 AWK852020:AWK852025 AMO852020:AMO852025 ACS852020:ACS852025 SW852020:SW852025 JA852020:JA852025 WVM852011 WLQ852011 WBU852011 VRY852011 VIC852011 UYG852011 UOK852011 UEO852011 TUS852011 TKW852011 TBA852011 SRE852011 SHI852011 RXM852011 RNQ852011 RDU852011 QTY852011 QKC852011 QAG852011 PQK852011 PGO852011 OWS852011 OMW852011 ODA852011 NTE852011 NJI852011 MZM852011 MPQ852011 MFU852011 LVY852011 LMC852011 LCG852011 KSK852011 KIO852011 JYS852011 JOW852011 JFA852011 IVE852011 ILI852011 IBM852011 HRQ852011 HHU852011 GXY852011 GOC852011 GEG852011 FUK852011 FKO852011 FAS852011 EQW852011 EHA852011 DXE852011 DNI852011 DDM852011 CTQ852011 CJU852011 BZY852011 BQC852011 BGG852011 AWK852011 AMO852011 ACS852011 SW852011 JA852011 WVM852009 WLQ852009 WBU852009 VRY852009 VIC852009 UYG852009 UOK852009 UEO852009 TUS852009 TKW852009 TBA852009 SRE852009 SHI852009 RXM852009 RNQ852009 RDU852009 QTY852009 QKC852009 QAG852009 PQK852009 PGO852009 OWS852009 OMW852009 ODA852009 NTE852009 NJI852009 MZM852009 MPQ852009 MFU852009 LVY852009 LMC852009 LCG852009 KSK852009 KIO852009 JYS852009 JOW852009 JFA852009 IVE852009 ILI852009 IBM852009 HRQ852009 HHU852009 GXY852009 GOC852009 GEG852009 FUK852009 FKO852009 FAS852009 EQW852009 EHA852009 DXE852009 DNI852009 DDM852009 CTQ852009 CJU852009 BZY852009 BQC852009 BGG852009 AWK852009 AMO852009 ACS852009 SW852009 JA852009 WVM852005 WLQ852005 WBU852005 VRY852005 VIC852005 UYG852005 UOK852005 UEO852005 TUS852005 TKW852005 TBA852005 SRE852005 SHI852005 RXM852005 RNQ852005 RDU852005 QTY852005 QKC852005 QAG852005 PQK852005 PGO852005 OWS852005 OMW852005 ODA852005 NTE852005 NJI852005 MZM852005 MPQ852005 MFU852005 LVY852005 LMC852005 LCG852005 KSK852005 KIO852005 JYS852005 JOW852005 JFA852005 IVE852005 ILI852005 IBM852005 HRQ852005 HHU852005 GXY852005 GOC852005 GEG852005 FUK852005 FKO852005 FAS852005 EQW852005 EHA852005 DXE852005 DNI852005 DDM852005 CTQ852005 CJU852005 BZY852005 BQC852005 BGG852005 AWK852005 AMO852005 ACS852005 SW852005 JA852005 WVM852003 WLQ852003 WBU852003 VRY852003 VIC852003 UYG852003 UOK852003 UEO852003 TUS852003 TKW852003 TBA852003 SRE852003 SHI852003 RXM852003 RNQ852003 RDU852003 QTY852003 QKC852003 QAG852003 PQK852003 PGO852003 OWS852003 OMW852003 ODA852003 NTE852003 NJI852003 MZM852003 MPQ852003 MFU852003 LVY852003 LMC852003 LCG852003 KSK852003 KIO852003 JYS852003 JOW852003 JFA852003 IVE852003 ILI852003 IBM852003 HRQ852003 HHU852003 GXY852003 GOC852003 GEG852003 FUK852003 FKO852003 FAS852003 EQW852003 EHA852003 DXE852003 DNI852003 DDM852003 CTQ852003 CJU852003 BZY852003 BQC852003 BGG852003 AWK852003 AMO852003 ACS852003 SW852003 JA852003 WVM786484:WVM786489 WLQ786484:WLQ786489 WBU786484:WBU786489 VRY786484:VRY786489 VIC786484:VIC786489 UYG786484:UYG786489 UOK786484:UOK786489 UEO786484:UEO786489 TUS786484:TUS786489 TKW786484:TKW786489 TBA786484:TBA786489 SRE786484:SRE786489 SHI786484:SHI786489 RXM786484:RXM786489 RNQ786484:RNQ786489 RDU786484:RDU786489 QTY786484:QTY786489 QKC786484:QKC786489 QAG786484:QAG786489 PQK786484:PQK786489 PGO786484:PGO786489 OWS786484:OWS786489 OMW786484:OMW786489 ODA786484:ODA786489 NTE786484:NTE786489 NJI786484:NJI786489 MZM786484:MZM786489 MPQ786484:MPQ786489 MFU786484:MFU786489 LVY786484:LVY786489 LMC786484:LMC786489 LCG786484:LCG786489 KSK786484:KSK786489 KIO786484:KIO786489 JYS786484:JYS786489 JOW786484:JOW786489 JFA786484:JFA786489 IVE786484:IVE786489 ILI786484:ILI786489 IBM786484:IBM786489 HRQ786484:HRQ786489 HHU786484:HHU786489 GXY786484:GXY786489 GOC786484:GOC786489 GEG786484:GEG786489 FUK786484:FUK786489 FKO786484:FKO786489 FAS786484:FAS786489 EQW786484:EQW786489 EHA786484:EHA786489 DXE786484:DXE786489 DNI786484:DNI786489 DDM786484:DDM786489 CTQ786484:CTQ786489 CJU786484:CJU786489 BZY786484:BZY786489 BQC786484:BQC786489 BGG786484:BGG786489 AWK786484:AWK786489 AMO786484:AMO786489 ACS786484:ACS786489 SW786484:SW786489 JA786484:JA786489 WVM786475 WLQ786475 WBU786475 VRY786475 VIC786475 UYG786475 UOK786475 UEO786475 TUS786475 TKW786475 TBA786475 SRE786475 SHI786475 RXM786475 RNQ786475 RDU786475 QTY786475 QKC786475 QAG786475 PQK786475 PGO786475 OWS786475 OMW786475 ODA786475 NTE786475 NJI786475 MZM786475 MPQ786475 MFU786475 LVY786475 LMC786475 LCG786475 KSK786475 KIO786475 JYS786475 JOW786475 JFA786475 IVE786475 ILI786475 IBM786475 HRQ786475 HHU786475 GXY786475 GOC786475 GEG786475 FUK786475 FKO786475 FAS786475 EQW786475 EHA786475 DXE786475 DNI786475 DDM786475 CTQ786475 CJU786475 BZY786475 BQC786475 BGG786475 AWK786475 AMO786475 ACS786475 SW786475 JA786475 WVM786473 WLQ786473 WBU786473 VRY786473 VIC786473 UYG786473 UOK786473 UEO786473 TUS786473 TKW786473 TBA786473 SRE786473 SHI786473 RXM786473 RNQ786473 RDU786473 QTY786473 QKC786473 QAG786473 PQK786473 PGO786473 OWS786473 OMW786473 ODA786473 NTE786473 NJI786473 MZM786473 MPQ786473 MFU786473 LVY786473 LMC786473 LCG786473 KSK786473 KIO786473 JYS786473 JOW786473 JFA786473 IVE786473 ILI786473 IBM786473 HRQ786473 HHU786473 GXY786473 GOC786473 GEG786473 FUK786473 FKO786473 FAS786473 EQW786473 EHA786473 DXE786473 DNI786473 DDM786473 CTQ786473 CJU786473 BZY786473 BQC786473 BGG786473 AWK786473 AMO786473 ACS786473 SW786473 JA786473 WVM786469 WLQ786469 WBU786469 VRY786469 VIC786469 UYG786469 UOK786469 UEO786469 TUS786469 TKW786469 TBA786469 SRE786469 SHI786469 RXM786469 RNQ786469 RDU786469 QTY786469 QKC786469 QAG786469 PQK786469 PGO786469 OWS786469 OMW786469 ODA786469 NTE786469 NJI786469 MZM786469 MPQ786469 MFU786469 LVY786469 LMC786469 LCG786469 KSK786469 KIO786469 JYS786469 JOW786469 JFA786469 IVE786469 ILI786469 IBM786469 HRQ786469 HHU786469 GXY786469 GOC786469 GEG786469 FUK786469 FKO786469 FAS786469 EQW786469 EHA786469 DXE786469 DNI786469 DDM786469 CTQ786469 CJU786469 BZY786469 BQC786469 BGG786469 AWK786469 AMO786469 ACS786469 SW786469 JA786469 WVM786467 WLQ786467 WBU786467 VRY786467 VIC786467 UYG786467 UOK786467 UEO786467 TUS786467 TKW786467 TBA786467 SRE786467 SHI786467 RXM786467 RNQ786467 RDU786467 QTY786467 QKC786467 QAG786467 PQK786467 PGO786467 OWS786467 OMW786467 ODA786467 NTE786467 NJI786467 MZM786467 MPQ786467 MFU786467 LVY786467 LMC786467 LCG786467 KSK786467 KIO786467 JYS786467 JOW786467 JFA786467 IVE786467 ILI786467 IBM786467 HRQ786467 HHU786467 GXY786467 GOC786467 GEG786467 FUK786467 FKO786467 FAS786467 EQW786467 EHA786467 DXE786467 DNI786467 DDM786467 CTQ786467 CJU786467 BZY786467 BQC786467 BGG786467 AWK786467 AMO786467 ACS786467 SW786467 JA786467 WVM720948:WVM720953 WLQ720948:WLQ720953 WBU720948:WBU720953 VRY720948:VRY720953 VIC720948:VIC720953 UYG720948:UYG720953 UOK720948:UOK720953 UEO720948:UEO720953 TUS720948:TUS720953 TKW720948:TKW720953 TBA720948:TBA720953 SRE720948:SRE720953 SHI720948:SHI720953 RXM720948:RXM720953 RNQ720948:RNQ720953 RDU720948:RDU720953 QTY720948:QTY720953 QKC720948:QKC720953 QAG720948:QAG720953 PQK720948:PQK720953 PGO720948:PGO720953 OWS720948:OWS720953 OMW720948:OMW720953 ODA720948:ODA720953 NTE720948:NTE720953 NJI720948:NJI720953 MZM720948:MZM720953 MPQ720948:MPQ720953 MFU720948:MFU720953 LVY720948:LVY720953 LMC720948:LMC720953 LCG720948:LCG720953 KSK720948:KSK720953 KIO720948:KIO720953 JYS720948:JYS720953 JOW720948:JOW720953 JFA720948:JFA720953 IVE720948:IVE720953 ILI720948:ILI720953 IBM720948:IBM720953 HRQ720948:HRQ720953 HHU720948:HHU720953 GXY720948:GXY720953 GOC720948:GOC720953 GEG720948:GEG720953 FUK720948:FUK720953 FKO720948:FKO720953 FAS720948:FAS720953 EQW720948:EQW720953 EHA720948:EHA720953 DXE720948:DXE720953 DNI720948:DNI720953 DDM720948:DDM720953 CTQ720948:CTQ720953 CJU720948:CJU720953 BZY720948:BZY720953 BQC720948:BQC720953 BGG720948:BGG720953 AWK720948:AWK720953 AMO720948:AMO720953 ACS720948:ACS720953 SW720948:SW720953 JA720948:JA720953 WVM720939 WLQ720939 WBU720939 VRY720939 VIC720939 UYG720939 UOK720939 UEO720939 TUS720939 TKW720939 TBA720939 SRE720939 SHI720939 RXM720939 RNQ720939 RDU720939 QTY720939 QKC720939 QAG720939 PQK720939 PGO720939 OWS720939 OMW720939 ODA720939 NTE720939 NJI720939 MZM720939 MPQ720939 MFU720939 LVY720939 LMC720939 LCG720939 KSK720939 KIO720939 JYS720939 JOW720939 JFA720939 IVE720939 ILI720939 IBM720939 HRQ720939 HHU720939 GXY720939 GOC720939 GEG720939 FUK720939 FKO720939 FAS720939 EQW720939 EHA720939 DXE720939 DNI720939 DDM720939 CTQ720939 CJU720939 BZY720939 BQC720939 BGG720939 AWK720939 AMO720939 ACS720939 SW720939 JA720939 WVM720937 WLQ720937 WBU720937 VRY720937 VIC720937 UYG720937 UOK720937 UEO720937 TUS720937 TKW720937 TBA720937 SRE720937 SHI720937 RXM720937 RNQ720937 RDU720937 QTY720937 QKC720937 QAG720937 PQK720937 PGO720937 OWS720937 OMW720937 ODA720937 NTE720937 NJI720937 MZM720937 MPQ720937 MFU720937 LVY720937 LMC720937 LCG720937 KSK720937 KIO720937 JYS720937 JOW720937 JFA720937 IVE720937 ILI720937 IBM720937 HRQ720937 HHU720937 GXY720937 GOC720937 GEG720937 FUK720937 FKO720937 FAS720937 EQW720937 EHA720937 DXE720937 DNI720937 DDM720937 CTQ720937 CJU720937 BZY720937 BQC720937 BGG720937 AWK720937 AMO720937 ACS720937 SW720937 JA720937 WVM720933 WLQ720933 WBU720933 VRY720933 VIC720933 UYG720933 UOK720933 UEO720933 TUS720933 TKW720933 TBA720933 SRE720933 SHI720933 RXM720933 RNQ720933 RDU720933 QTY720933 QKC720933 QAG720933 PQK720933 PGO720933 OWS720933 OMW720933 ODA720933 NTE720933 NJI720933 MZM720933 MPQ720933 MFU720933 LVY720933 LMC720933 LCG720933 KSK720933 KIO720933 JYS720933 JOW720933 JFA720933 IVE720933 ILI720933 IBM720933 HRQ720933 HHU720933 GXY720933 GOC720933 GEG720933 FUK720933 FKO720933 FAS720933 EQW720933 EHA720933 DXE720933 DNI720933 DDM720933 CTQ720933 CJU720933 BZY720933 BQC720933 BGG720933 AWK720933 AMO720933 ACS720933 SW720933 JA720933 WVM720931 WLQ720931 WBU720931 VRY720931 VIC720931 UYG720931 UOK720931 UEO720931 TUS720931 TKW720931 TBA720931 SRE720931 SHI720931 RXM720931 RNQ720931 RDU720931 QTY720931 QKC720931 QAG720931 PQK720931 PGO720931 OWS720931 OMW720931 ODA720931 NTE720931 NJI720931 MZM720931 MPQ720931 MFU720931 LVY720931 LMC720931 LCG720931 KSK720931 KIO720931 JYS720931 JOW720931 JFA720931 IVE720931 ILI720931 IBM720931 HRQ720931 HHU720931 GXY720931 GOC720931 GEG720931 FUK720931 FKO720931 FAS720931 EQW720931 EHA720931 DXE720931 DNI720931 DDM720931 CTQ720931 CJU720931 BZY720931 BQC720931 BGG720931 AWK720931 AMO720931 ACS720931 SW720931 JA720931 WVM655412:WVM655417 WLQ655412:WLQ655417 WBU655412:WBU655417 VRY655412:VRY655417 VIC655412:VIC655417 UYG655412:UYG655417 UOK655412:UOK655417 UEO655412:UEO655417 TUS655412:TUS655417 TKW655412:TKW655417 TBA655412:TBA655417 SRE655412:SRE655417 SHI655412:SHI655417 RXM655412:RXM655417 RNQ655412:RNQ655417 RDU655412:RDU655417 QTY655412:QTY655417 QKC655412:QKC655417 QAG655412:QAG655417 PQK655412:PQK655417 PGO655412:PGO655417 OWS655412:OWS655417 OMW655412:OMW655417 ODA655412:ODA655417 NTE655412:NTE655417 NJI655412:NJI655417 MZM655412:MZM655417 MPQ655412:MPQ655417 MFU655412:MFU655417 LVY655412:LVY655417 LMC655412:LMC655417 LCG655412:LCG655417 KSK655412:KSK655417 KIO655412:KIO655417 JYS655412:JYS655417 JOW655412:JOW655417 JFA655412:JFA655417 IVE655412:IVE655417 ILI655412:ILI655417 IBM655412:IBM655417 HRQ655412:HRQ655417 HHU655412:HHU655417 GXY655412:GXY655417 GOC655412:GOC655417 GEG655412:GEG655417 FUK655412:FUK655417 FKO655412:FKO655417 FAS655412:FAS655417 EQW655412:EQW655417 EHA655412:EHA655417 DXE655412:DXE655417 DNI655412:DNI655417 DDM655412:DDM655417 CTQ655412:CTQ655417 CJU655412:CJU655417 BZY655412:BZY655417 BQC655412:BQC655417 BGG655412:BGG655417 AWK655412:AWK655417 AMO655412:AMO655417 ACS655412:ACS655417 SW655412:SW655417 JA655412:JA655417 WVM655403 WLQ655403 WBU655403 VRY655403 VIC655403 UYG655403 UOK655403 UEO655403 TUS655403 TKW655403 TBA655403 SRE655403 SHI655403 RXM655403 RNQ655403 RDU655403 QTY655403 QKC655403 QAG655403 PQK655403 PGO655403 OWS655403 OMW655403 ODA655403 NTE655403 NJI655403 MZM655403 MPQ655403 MFU655403 LVY655403 LMC655403 LCG655403 KSK655403 KIO655403 JYS655403 JOW655403 JFA655403 IVE655403 ILI655403 IBM655403 HRQ655403 HHU655403 GXY655403 GOC655403 GEG655403 FUK655403 FKO655403 FAS655403 EQW655403 EHA655403 DXE655403 DNI655403 DDM655403 CTQ655403 CJU655403 BZY655403 BQC655403 BGG655403 AWK655403 AMO655403 ACS655403 SW655403 JA655403 WVM655401 WLQ655401 WBU655401 VRY655401 VIC655401 UYG655401 UOK655401 UEO655401 TUS655401 TKW655401 TBA655401 SRE655401 SHI655401 RXM655401 RNQ655401 RDU655401 QTY655401 QKC655401 QAG655401 PQK655401 PGO655401 OWS655401 OMW655401 ODA655401 NTE655401 NJI655401 MZM655401 MPQ655401 MFU655401 LVY655401 LMC655401 LCG655401 KSK655401 KIO655401 JYS655401 JOW655401 JFA655401 IVE655401 ILI655401 IBM655401 HRQ655401 HHU655401 GXY655401 GOC655401 GEG655401 FUK655401 FKO655401 FAS655401 EQW655401 EHA655401 DXE655401 DNI655401 DDM655401 CTQ655401 CJU655401 BZY655401 BQC655401 BGG655401 AWK655401 AMO655401 ACS655401 SW655401 JA655401 WVM655397 WLQ655397 WBU655397 VRY655397 VIC655397 UYG655397 UOK655397 UEO655397 TUS655397 TKW655397 TBA655397 SRE655397 SHI655397 RXM655397 RNQ655397 RDU655397 QTY655397 QKC655397 QAG655397 PQK655397 PGO655397 OWS655397 OMW655397 ODA655397 NTE655397 NJI655397 MZM655397 MPQ655397 MFU655397 LVY655397 LMC655397 LCG655397 KSK655397 KIO655397 JYS655397 JOW655397 JFA655397 IVE655397 ILI655397 IBM655397 HRQ655397 HHU655397 GXY655397 GOC655397 GEG655397 FUK655397 FKO655397 FAS655397 EQW655397 EHA655397 DXE655397 DNI655397 DDM655397 CTQ655397 CJU655397 BZY655397 BQC655397 BGG655397 AWK655397 AMO655397 ACS655397 SW655397 JA655397 WVM655395 WLQ655395 WBU655395 VRY655395 VIC655395 UYG655395 UOK655395 UEO655395 TUS655395 TKW655395 TBA655395 SRE655395 SHI655395 RXM655395 RNQ655395 RDU655395 QTY655395 QKC655395 QAG655395 PQK655395 PGO655395 OWS655395 OMW655395 ODA655395 NTE655395 NJI655395 MZM655395 MPQ655395 MFU655395 LVY655395 LMC655395 LCG655395 KSK655395 KIO655395 JYS655395 JOW655395 JFA655395 IVE655395 ILI655395 IBM655395 HRQ655395 HHU655395 GXY655395 GOC655395 GEG655395 FUK655395 FKO655395 FAS655395 EQW655395 EHA655395 DXE655395 DNI655395 DDM655395 CTQ655395 CJU655395 BZY655395 BQC655395 BGG655395 AWK655395 AMO655395 ACS655395 SW655395 JA655395 WVM589876:WVM589881 WLQ589876:WLQ589881 WBU589876:WBU589881 VRY589876:VRY589881 VIC589876:VIC589881 UYG589876:UYG589881 UOK589876:UOK589881 UEO589876:UEO589881 TUS589876:TUS589881 TKW589876:TKW589881 TBA589876:TBA589881 SRE589876:SRE589881 SHI589876:SHI589881 RXM589876:RXM589881 RNQ589876:RNQ589881 RDU589876:RDU589881 QTY589876:QTY589881 QKC589876:QKC589881 QAG589876:QAG589881 PQK589876:PQK589881 PGO589876:PGO589881 OWS589876:OWS589881 OMW589876:OMW589881 ODA589876:ODA589881 NTE589876:NTE589881 NJI589876:NJI589881 MZM589876:MZM589881 MPQ589876:MPQ589881 MFU589876:MFU589881 LVY589876:LVY589881 LMC589876:LMC589881 LCG589876:LCG589881 KSK589876:KSK589881 KIO589876:KIO589881 JYS589876:JYS589881 JOW589876:JOW589881 JFA589876:JFA589881 IVE589876:IVE589881 ILI589876:ILI589881 IBM589876:IBM589881 HRQ589876:HRQ589881 HHU589876:HHU589881 GXY589876:GXY589881 GOC589876:GOC589881 GEG589876:GEG589881 FUK589876:FUK589881 FKO589876:FKO589881 FAS589876:FAS589881 EQW589876:EQW589881 EHA589876:EHA589881 DXE589876:DXE589881 DNI589876:DNI589881 DDM589876:DDM589881 CTQ589876:CTQ589881 CJU589876:CJU589881 BZY589876:BZY589881 BQC589876:BQC589881 BGG589876:BGG589881 AWK589876:AWK589881 AMO589876:AMO589881 ACS589876:ACS589881 SW589876:SW589881 JA589876:JA589881 WVM589867 WLQ589867 WBU589867 VRY589867 VIC589867 UYG589867 UOK589867 UEO589867 TUS589867 TKW589867 TBA589867 SRE589867 SHI589867 RXM589867 RNQ589867 RDU589867 QTY589867 QKC589867 QAG589867 PQK589867 PGO589867 OWS589867 OMW589867 ODA589867 NTE589867 NJI589867 MZM589867 MPQ589867 MFU589867 LVY589867 LMC589867 LCG589867 KSK589867 KIO589867 JYS589867 JOW589867 JFA589867 IVE589867 ILI589867 IBM589867 HRQ589867 HHU589867 GXY589867 GOC589867 GEG589867 FUK589867 FKO589867 FAS589867 EQW589867 EHA589867 DXE589867 DNI589867 DDM589867 CTQ589867 CJU589867 BZY589867 BQC589867 BGG589867 AWK589867 AMO589867 ACS589867 SW589867 JA589867 WVM589865 WLQ589865 WBU589865 VRY589865 VIC589865 UYG589865 UOK589865 UEO589865 TUS589865 TKW589865 TBA589865 SRE589865 SHI589865 RXM589865 RNQ589865 RDU589865 QTY589865 QKC589865 QAG589865 PQK589865 PGO589865 OWS589865 OMW589865 ODA589865 NTE589865 NJI589865 MZM589865 MPQ589865 MFU589865 LVY589865 LMC589865 LCG589865 KSK589865 KIO589865 JYS589865 JOW589865 JFA589865 IVE589865 ILI589865 IBM589865 HRQ589865 HHU589865 GXY589865 GOC589865 GEG589865 FUK589865 FKO589865 FAS589865 EQW589865 EHA589865 DXE589865 DNI589865 DDM589865 CTQ589865 CJU589865 BZY589865 BQC589865 BGG589865 AWK589865 AMO589865 ACS589865 SW589865 JA589865 WVM589861 WLQ589861 WBU589861 VRY589861 VIC589861 UYG589861 UOK589861 UEO589861 TUS589861 TKW589861 TBA589861 SRE589861 SHI589861 RXM589861 RNQ589861 RDU589861 QTY589861 QKC589861 QAG589861 PQK589861 PGO589861 OWS589861 OMW589861 ODA589861 NTE589861 NJI589861 MZM589861 MPQ589861 MFU589861 LVY589861 LMC589861 LCG589861 KSK589861 KIO589861 JYS589861 JOW589861 JFA589861 IVE589861 ILI589861 IBM589861 HRQ589861 HHU589861 GXY589861 GOC589861 GEG589861 FUK589861 FKO589861 FAS589861 EQW589861 EHA589861 DXE589861 DNI589861 DDM589861 CTQ589861 CJU589861 BZY589861 BQC589861 BGG589861 AWK589861 AMO589861 ACS589861 SW589861 JA589861 WVM589859 WLQ589859 WBU589859 VRY589859 VIC589859 UYG589859 UOK589859 UEO589859 TUS589859 TKW589859 TBA589859 SRE589859 SHI589859 RXM589859 RNQ589859 RDU589859 QTY589859 QKC589859 QAG589859 PQK589859 PGO589859 OWS589859 OMW589859 ODA589859 NTE589859 NJI589859 MZM589859 MPQ589859 MFU589859 LVY589859 LMC589859 LCG589859 KSK589859 KIO589859 JYS589859 JOW589859 JFA589859 IVE589859 ILI589859 IBM589859 HRQ589859 HHU589859 GXY589859 GOC589859 GEG589859 FUK589859 FKO589859 FAS589859 EQW589859 EHA589859 DXE589859 DNI589859 DDM589859 CTQ589859 CJU589859 BZY589859 BQC589859 BGG589859 AWK589859 AMO589859 ACS589859 SW589859 JA589859 WVM524340:WVM524345 WLQ524340:WLQ524345 WBU524340:WBU524345 VRY524340:VRY524345 VIC524340:VIC524345 UYG524340:UYG524345 UOK524340:UOK524345 UEO524340:UEO524345 TUS524340:TUS524345 TKW524340:TKW524345 TBA524340:TBA524345 SRE524340:SRE524345 SHI524340:SHI524345 RXM524340:RXM524345 RNQ524340:RNQ524345 RDU524340:RDU524345 QTY524340:QTY524345 QKC524340:QKC524345 QAG524340:QAG524345 PQK524340:PQK524345 PGO524340:PGO524345 OWS524340:OWS524345 OMW524340:OMW524345 ODA524340:ODA524345 NTE524340:NTE524345 NJI524340:NJI524345 MZM524340:MZM524345 MPQ524340:MPQ524345 MFU524340:MFU524345 LVY524340:LVY524345 LMC524340:LMC524345 LCG524340:LCG524345 KSK524340:KSK524345 KIO524340:KIO524345 JYS524340:JYS524345 JOW524340:JOW524345 JFA524340:JFA524345 IVE524340:IVE524345 ILI524340:ILI524345 IBM524340:IBM524345 HRQ524340:HRQ524345 HHU524340:HHU524345 GXY524340:GXY524345 GOC524340:GOC524345 GEG524340:GEG524345 FUK524340:FUK524345 FKO524340:FKO524345 FAS524340:FAS524345 EQW524340:EQW524345 EHA524340:EHA524345 DXE524340:DXE524345 DNI524340:DNI524345 DDM524340:DDM524345 CTQ524340:CTQ524345 CJU524340:CJU524345 BZY524340:BZY524345 BQC524340:BQC524345 BGG524340:BGG524345 AWK524340:AWK524345 AMO524340:AMO524345 ACS524340:ACS524345 SW524340:SW524345 JA524340:JA524345 WVM524331 WLQ524331 WBU524331 VRY524331 VIC524331 UYG524331 UOK524331 UEO524331 TUS524331 TKW524331 TBA524331 SRE524331 SHI524331 RXM524331 RNQ524331 RDU524331 QTY524331 QKC524331 QAG524331 PQK524331 PGO524331 OWS524331 OMW524331 ODA524331 NTE524331 NJI524331 MZM524331 MPQ524331 MFU524331 LVY524331 LMC524331 LCG524331 KSK524331 KIO524331 JYS524331 JOW524331 JFA524331 IVE524331 ILI524331 IBM524331 HRQ524331 HHU524331 GXY524331 GOC524331 GEG524331 FUK524331 FKO524331 FAS524331 EQW524331 EHA524331 DXE524331 DNI524331 DDM524331 CTQ524331 CJU524331 BZY524331 BQC524331 BGG524331 AWK524331 AMO524331 ACS524331 SW524331 JA524331 WVM524329 WLQ524329 WBU524329 VRY524329 VIC524329 UYG524329 UOK524329 UEO524329 TUS524329 TKW524329 TBA524329 SRE524329 SHI524329 RXM524329 RNQ524329 RDU524329 QTY524329 QKC524329 QAG524329 PQK524329 PGO524329 OWS524329 OMW524329 ODA524329 NTE524329 NJI524329 MZM524329 MPQ524329 MFU524329 LVY524329 LMC524329 LCG524329 KSK524329 KIO524329 JYS524329 JOW524329 JFA524329 IVE524329 ILI524329 IBM524329 HRQ524329 HHU524329 GXY524329 GOC524329 GEG524329 FUK524329 FKO524329 FAS524329 EQW524329 EHA524329 DXE524329 DNI524329 DDM524329 CTQ524329 CJU524329 BZY524329 BQC524329 BGG524329 AWK524329 AMO524329 ACS524329 SW524329 JA524329 WVM524325 WLQ524325 WBU524325 VRY524325 VIC524325 UYG524325 UOK524325 UEO524325 TUS524325 TKW524325 TBA524325 SRE524325 SHI524325 RXM524325 RNQ524325 RDU524325 QTY524325 QKC524325 QAG524325 PQK524325 PGO524325 OWS524325 OMW524325 ODA524325 NTE524325 NJI524325 MZM524325 MPQ524325 MFU524325 LVY524325 LMC524325 LCG524325 KSK524325 KIO524325 JYS524325 JOW524325 JFA524325 IVE524325 ILI524325 IBM524325 HRQ524325 HHU524325 GXY524325 GOC524325 GEG524325 FUK524325 FKO524325 FAS524325 EQW524325 EHA524325 DXE524325 DNI524325 DDM524325 CTQ524325 CJU524325 BZY524325 BQC524325 BGG524325 AWK524325 AMO524325 ACS524325 SW524325 JA524325 WVM524323 WLQ524323 WBU524323 VRY524323 VIC524323 UYG524323 UOK524323 UEO524323 TUS524323 TKW524323 TBA524323 SRE524323 SHI524323 RXM524323 RNQ524323 RDU524323 QTY524323 QKC524323 QAG524323 PQK524323 PGO524323 OWS524323 OMW524323 ODA524323 NTE524323 NJI524323 MZM524323 MPQ524323 MFU524323 LVY524323 LMC524323 LCG524323 KSK524323 KIO524323 JYS524323 JOW524323 JFA524323 IVE524323 ILI524323 IBM524323 HRQ524323 HHU524323 GXY524323 GOC524323 GEG524323 FUK524323 FKO524323 FAS524323 EQW524323 EHA524323 DXE524323 DNI524323 DDM524323 CTQ524323 CJU524323 BZY524323 BQC524323 BGG524323 AWK524323 AMO524323 ACS524323 SW524323 JA524323 WVM458804:WVM458809 WLQ458804:WLQ458809 WBU458804:WBU458809 VRY458804:VRY458809 VIC458804:VIC458809 UYG458804:UYG458809 UOK458804:UOK458809 UEO458804:UEO458809 TUS458804:TUS458809 TKW458804:TKW458809 TBA458804:TBA458809 SRE458804:SRE458809 SHI458804:SHI458809 RXM458804:RXM458809 RNQ458804:RNQ458809 RDU458804:RDU458809 QTY458804:QTY458809 QKC458804:QKC458809 QAG458804:QAG458809 PQK458804:PQK458809 PGO458804:PGO458809 OWS458804:OWS458809 OMW458804:OMW458809 ODA458804:ODA458809 NTE458804:NTE458809 NJI458804:NJI458809 MZM458804:MZM458809 MPQ458804:MPQ458809 MFU458804:MFU458809 LVY458804:LVY458809 LMC458804:LMC458809 LCG458804:LCG458809 KSK458804:KSK458809 KIO458804:KIO458809 JYS458804:JYS458809 JOW458804:JOW458809 JFA458804:JFA458809 IVE458804:IVE458809 ILI458804:ILI458809 IBM458804:IBM458809 HRQ458804:HRQ458809 HHU458804:HHU458809 GXY458804:GXY458809 GOC458804:GOC458809 GEG458804:GEG458809 FUK458804:FUK458809 FKO458804:FKO458809 FAS458804:FAS458809 EQW458804:EQW458809 EHA458804:EHA458809 DXE458804:DXE458809 DNI458804:DNI458809 DDM458804:DDM458809 CTQ458804:CTQ458809 CJU458804:CJU458809 BZY458804:BZY458809 BQC458804:BQC458809 BGG458804:BGG458809 AWK458804:AWK458809 AMO458804:AMO458809 ACS458804:ACS458809 SW458804:SW458809 JA458804:JA458809 WVM458795 WLQ458795 WBU458795 VRY458795 VIC458795 UYG458795 UOK458795 UEO458795 TUS458795 TKW458795 TBA458795 SRE458795 SHI458795 RXM458795 RNQ458795 RDU458795 QTY458795 QKC458795 QAG458795 PQK458795 PGO458795 OWS458795 OMW458795 ODA458795 NTE458795 NJI458795 MZM458795 MPQ458795 MFU458795 LVY458795 LMC458795 LCG458795 KSK458795 KIO458795 JYS458795 JOW458795 JFA458795 IVE458795 ILI458795 IBM458795 HRQ458795 HHU458795 GXY458795 GOC458795 GEG458795 FUK458795 FKO458795 FAS458795 EQW458795 EHA458795 DXE458795 DNI458795 DDM458795 CTQ458795 CJU458795 BZY458795 BQC458795 BGG458795 AWK458795 AMO458795 ACS458795 SW458795 JA458795 WVM458793 WLQ458793 WBU458793 VRY458793 VIC458793 UYG458793 UOK458793 UEO458793 TUS458793 TKW458793 TBA458793 SRE458793 SHI458793 RXM458793 RNQ458793 RDU458793 QTY458793 QKC458793 QAG458793 PQK458793 PGO458793 OWS458793 OMW458793 ODA458793 NTE458793 NJI458793 MZM458793 MPQ458793 MFU458793 LVY458793 LMC458793 LCG458793 KSK458793 KIO458793 JYS458793 JOW458793 JFA458793 IVE458793 ILI458793 IBM458793 HRQ458793 HHU458793 GXY458793 GOC458793 GEG458793 FUK458793 FKO458793 FAS458793 EQW458793 EHA458793 DXE458793 DNI458793 DDM458793 CTQ458793 CJU458793 BZY458793 BQC458793 BGG458793 AWK458793 AMO458793 ACS458793 SW458793 JA458793 WVM458789 WLQ458789 WBU458789 VRY458789 VIC458789 UYG458789 UOK458789 UEO458789 TUS458789 TKW458789 TBA458789 SRE458789 SHI458789 RXM458789 RNQ458789 RDU458789 QTY458789 QKC458789 QAG458789 PQK458789 PGO458789 OWS458789 OMW458789 ODA458789 NTE458789 NJI458789 MZM458789 MPQ458789 MFU458789 LVY458789 LMC458789 LCG458789 KSK458789 KIO458789 JYS458789 JOW458789 JFA458789 IVE458789 ILI458789 IBM458789 HRQ458789 HHU458789 GXY458789 GOC458789 GEG458789 FUK458789 FKO458789 FAS458789 EQW458789 EHA458789 DXE458789 DNI458789 DDM458789 CTQ458789 CJU458789 BZY458789 BQC458789 BGG458789 AWK458789 AMO458789 ACS458789 SW458789 JA458789 WVM458787 WLQ458787 WBU458787 VRY458787 VIC458787 UYG458787 UOK458787 UEO458787 TUS458787 TKW458787 TBA458787 SRE458787 SHI458787 RXM458787 RNQ458787 RDU458787 QTY458787 QKC458787 QAG458787 PQK458787 PGO458787 OWS458787 OMW458787 ODA458787 NTE458787 NJI458787 MZM458787 MPQ458787 MFU458787 LVY458787 LMC458787 LCG458787 KSK458787 KIO458787 JYS458787 JOW458787 JFA458787 IVE458787 ILI458787 IBM458787 HRQ458787 HHU458787 GXY458787 GOC458787 GEG458787 FUK458787 FKO458787 FAS458787 EQW458787 EHA458787 DXE458787 DNI458787 DDM458787 CTQ458787 CJU458787 BZY458787 BQC458787 BGG458787 AWK458787 AMO458787 ACS458787 SW458787 JA458787 WVM393268:WVM393273 WLQ393268:WLQ393273 WBU393268:WBU393273 VRY393268:VRY393273 VIC393268:VIC393273 UYG393268:UYG393273 UOK393268:UOK393273 UEO393268:UEO393273 TUS393268:TUS393273 TKW393268:TKW393273 TBA393268:TBA393273 SRE393268:SRE393273 SHI393268:SHI393273 RXM393268:RXM393273 RNQ393268:RNQ393273 RDU393268:RDU393273 QTY393268:QTY393273 QKC393268:QKC393273 QAG393268:QAG393273 PQK393268:PQK393273 PGO393268:PGO393273 OWS393268:OWS393273 OMW393268:OMW393273 ODA393268:ODA393273 NTE393268:NTE393273 NJI393268:NJI393273 MZM393268:MZM393273 MPQ393268:MPQ393273 MFU393268:MFU393273 LVY393268:LVY393273 LMC393268:LMC393273 LCG393268:LCG393273 KSK393268:KSK393273 KIO393268:KIO393273 JYS393268:JYS393273 JOW393268:JOW393273 JFA393268:JFA393273 IVE393268:IVE393273 ILI393268:ILI393273 IBM393268:IBM393273 HRQ393268:HRQ393273 HHU393268:HHU393273 GXY393268:GXY393273 GOC393268:GOC393273 GEG393268:GEG393273 FUK393268:FUK393273 FKO393268:FKO393273 FAS393268:FAS393273 EQW393268:EQW393273 EHA393268:EHA393273 DXE393268:DXE393273 DNI393268:DNI393273 DDM393268:DDM393273 CTQ393268:CTQ393273 CJU393268:CJU393273 BZY393268:BZY393273 BQC393268:BQC393273 BGG393268:BGG393273 AWK393268:AWK393273 AMO393268:AMO393273 ACS393268:ACS393273 SW393268:SW393273 JA393268:JA393273 WVM393259 WLQ393259 WBU393259 VRY393259 VIC393259 UYG393259 UOK393259 UEO393259 TUS393259 TKW393259 TBA393259 SRE393259 SHI393259 RXM393259 RNQ393259 RDU393259 QTY393259 QKC393259 QAG393259 PQK393259 PGO393259 OWS393259 OMW393259 ODA393259 NTE393259 NJI393259 MZM393259 MPQ393259 MFU393259 LVY393259 LMC393259 LCG393259 KSK393259 KIO393259 JYS393259 JOW393259 JFA393259 IVE393259 ILI393259 IBM393259 HRQ393259 HHU393259 GXY393259 GOC393259 GEG393259 FUK393259 FKO393259 FAS393259 EQW393259 EHA393259 DXE393259 DNI393259 DDM393259 CTQ393259 CJU393259 BZY393259 BQC393259 BGG393259 AWK393259 AMO393259 ACS393259 SW393259 JA393259 WVM393257 WLQ393257 WBU393257 VRY393257 VIC393257 UYG393257 UOK393257 UEO393257 TUS393257 TKW393257 TBA393257 SRE393257 SHI393257 RXM393257 RNQ393257 RDU393257 QTY393257 QKC393257 QAG393257 PQK393257 PGO393257 OWS393257 OMW393257 ODA393257 NTE393257 NJI393257 MZM393257 MPQ393257 MFU393257 LVY393257 LMC393257 LCG393257 KSK393257 KIO393257 JYS393257 JOW393257 JFA393257 IVE393257 ILI393257 IBM393257 HRQ393257 HHU393257 GXY393257 GOC393257 GEG393257 FUK393257 FKO393257 FAS393257 EQW393257 EHA393257 DXE393257 DNI393257 DDM393257 CTQ393257 CJU393257 BZY393257 BQC393257 BGG393257 AWK393257 AMO393257 ACS393257 SW393257 JA393257 WVM393253 WLQ393253 WBU393253 VRY393253 VIC393253 UYG393253 UOK393253 UEO393253 TUS393253 TKW393253 TBA393253 SRE393253 SHI393253 RXM393253 RNQ393253 RDU393253 QTY393253 QKC393253 QAG393253 PQK393253 PGO393253 OWS393253 OMW393253 ODA393253 NTE393253 NJI393253 MZM393253 MPQ393253 MFU393253 LVY393253 LMC393253 LCG393253 KSK393253 KIO393253 JYS393253 JOW393253 JFA393253 IVE393253 ILI393253 IBM393253 HRQ393253 HHU393253 GXY393253 GOC393253 GEG393253 FUK393253 FKO393253 FAS393253 EQW393253 EHA393253 DXE393253 DNI393253 DDM393253 CTQ393253 CJU393253 BZY393253 BQC393253 BGG393253 AWK393253 AMO393253 ACS393253 SW393253 JA393253 WVM393251 WLQ393251 WBU393251 VRY393251 VIC393251 UYG393251 UOK393251 UEO393251 TUS393251 TKW393251 TBA393251 SRE393251 SHI393251 RXM393251 RNQ393251 RDU393251 QTY393251 QKC393251 QAG393251 PQK393251 PGO393251 OWS393251 OMW393251 ODA393251 NTE393251 NJI393251 MZM393251 MPQ393251 MFU393251 LVY393251 LMC393251 LCG393251 KSK393251 KIO393251 JYS393251 JOW393251 JFA393251 IVE393251 ILI393251 IBM393251 HRQ393251 HHU393251 GXY393251 GOC393251 GEG393251 FUK393251 FKO393251 FAS393251 EQW393251 EHA393251 DXE393251 DNI393251 DDM393251 CTQ393251 CJU393251 BZY393251 BQC393251 BGG393251 AWK393251 AMO393251 ACS393251 SW393251 JA393251 WVM327732:WVM327737 WLQ327732:WLQ327737 WBU327732:WBU327737 VRY327732:VRY327737 VIC327732:VIC327737 UYG327732:UYG327737 UOK327732:UOK327737 UEO327732:UEO327737 TUS327732:TUS327737 TKW327732:TKW327737 TBA327732:TBA327737 SRE327732:SRE327737 SHI327732:SHI327737 RXM327732:RXM327737 RNQ327732:RNQ327737 RDU327732:RDU327737 QTY327732:QTY327737 QKC327732:QKC327737 QAG327732:QAG327737 PQK327732:PQK327737 PGO327732:PGO327737 OWS327732:OWS327737 OMW327732:OMW327737 ODA327732:ODA327737 NTE327732:NTE327737 NJI327732:NJI327737 MZM327732:MZM327737 MPQ327732:MPQ327737 MFU327732:MFU327737 LVY327732:LVY327737 LMC327732:LMC327737 LCG327732:LCG327737 KSK327732:KSK327737 KIO327732:KIO327737 JYS327732:JYS327737 JOW327732:JOW327737 JFA327732:JFA327737 IVE327732:IVE327737 ILI327732:ILI327737 IBM327732:IBM327737 HRQ327732:HRQ327737 HHU327732:HHU327737 GXY327732:GXY327737 GOC327732:GOC327737 GEG327732:GEG327737 FUK327732:FUK327737 FKO327732:FKO327737 FAS327732:FAS327737 EQW327732:EQW327737 EHA327732:EHA327737 DXE327732:DXE327737 DNI327732:DNI327737 DDM327732:DDM327737 CTQ327732:CTQ327737 CJU327732:CJU327737 BZY327732:BZY327737 BQC327732:BQC327737 BGG327732:BGG327737 AWK327732:AWK327737 AMO327732:AMO327737 ACS327732:ACS327737 SW327732:SW327737 JA327732:JA327737 WVM327723 WLQ327723 WBU327723 VRY327723 VIC327723 UYG327723 UOK327723 UEO327723 TUS327723 TKW327723 TBA327723 SRE327723 SHI327723 RXM327723 RNQ327723 RDU327723 QTY327723 QKC327723 QAG327723 PQK327723 PGO327723 OWS327723 OMW327723 ODA327723 NTE327723 NJI327723 MZM327723 MPQ327723 MFU327723 LVY327723 LMC327723 LCG327723 KSK327723 KIO327723 JYS327723 JOW327723 JFA327723 IVE327723 ILI327723 IBM327723 HRQ327723 HHU327723 GXY327723 GOC327723 GEG327723 FUK327723 FKO327723 FAS327723 EQW327723 EHA327723 DXE327723 DNI327723 DDM327723 CTQ327723 CJU327723 BZY327723 BQC327723 BGG327723 AWK327723 AMO327723 ACS327723 SW327723 JA327723 WVM327721 WLQ327721 WBU327721 VRY327721 VIC327721 UYG327721 UOK327721 UEO327721 TUS327721 TKW327721 TBA327721 SRE327721 SHI327721 RXM327721 RNQ327721 RDU327721 QTY327721 QKC327721 QAG327721 PQK327721 PGO327721 OWS327721 OMW327721 ODA327721 NTE327721 NJI327721 MZM327721 MPQ327721 MFU327721 LVY327721 LMC327721 LCG327721 KSK327721 KIO327721 JYS327721 JOW327721 JFA327721 IVE327721 ILI327721 IBM327721 HRQ327721 HHU327721 GXY327721 GOC327721 GEG327721 FUK327721 FKO327721 FAS327721 EQW327721 EHA327721 DXE327721 DNI327721 DDM327721 CTQ327721 CJU327721 BZY327721 BQC327721 BGG327721 AWK327721 AMO327721 ACS327721 SW327721 JA327721 WVM327717 WLQ327717 WBU327717 VRY327717 VIC327717 UYG327717 UOK327717 UEO327717 TUS327717 TKW327717 TBA327717 SRE327717 SHI327717 RXM327717 RNQ327717 RDU327717 QTY327717 QKC327717 QAG327717 PQK327717 PGO327717 OWS327717 OMW327717 ODA327717 NTE327717 NJI327717 MZM327717 MPQ327717 MFU327717 LVY327717 LMC327717 LCG327717 KSK327717 KIO327717 JYS327717 JOW327717 JFA327717 IVE327717 ILI327717 IBM327717 HRQ327717 HHU327717 GXY327717 GOC327717 GEG327717 FUK327717 FKO327717 FAS327717 EQW327717 EHA327717 DXE327717 DNI327717 DDM327717 CTQ327717 CJU327717 BZY327717 BQC327717 BGG327717 AWK327717 AMO327717 ACS327717 SW327717 JA327717 WVM327715 WLQ327715 WBU327715 VRY327715 VIC327715 UYG327715 UOK327715 UEO327715 TUS327715 TKW327715 TBA327715 SRE327715 SHI327715 RXM327715 RNQ327715 RDU327715 QTY327715 QKC327715 QAG327715 PQK327715 PGO327715 OWS327715 OMW327715 ODA327715 NTE327715 NJI327715 MZM327715 MPQ327715 MFU327715 LVY327715 LMC327715 LCG327715 KSK327715 KIO327715 JYS327715 JOW327715 JFA327715 IVE327715 ILI327715 IBM327715 HRQ327715 HHU327715 GXY327715 GOC327715 GEG327715 FUK327715 FKO327715 FAS327715 EQW327715 EHA327715 DXE327715 DNI327715 DDM327715 CTQ327715 CJU327715 BZY327715 BQC327715 BGG327715 AWK327715 AMO327715 ACS327715 SW327715 JA327715 WVM262196:WVM262201 WLQ262196:WLQ262201 WBU262196:WBU262201 VRY262196:VRY262201 VIC262196:VIC262201 UYG262196:UYG262201 UOK262196:UOK262201 UEO262196:UEO262201 TUS262196:TUS262201 TKW262196:TKW262201 TBA262196:TBA262201 SRE262196:SRE262201 SHI262196:SHI262201 RXM262196:RXM262201 RNQ262196:RNQ262201 RDU262196:RDU262201 QTY262196:QTY262201 QKC262196:QKC262201 QAG262196:QAG262201 PQK262196:PQK262201 PGO262196:PGO262201 OWS262196:OWS262201 OMW262196:OMW262201 ODA262196:ODA262201 NTE262196:NTE262201 NJI262196:NJI262201 MZM262196:MZM262201 MPQ262196:MPQ262201 MFU262196:MFU262201 LVY262196:LVY262201 LMC262196:LMC262201 LCG262196:LCG262201 KSK262196:KSK262201 KIO262196:KIO262201 JYS262196:JYS262201 JOW262196:JOW262201 JFA262196:JFA262201 IVE262196:IVE262201 ILI262196:ILI262201 IBM262196:IBM262201 HRQ262196:HRQ262201 HHU262196:HHU262201 GXY262196:GXY262201 GOC262196:GOC262201 GEG262196:GEG262201 FUK262196:FUK262201 FKO262196:FKO262201 FAS262196:FAS262201 EQW262196:EQW262201 EHA262196:EHA262201 DXE262196:DXE262201 DNI262196:DNI262201 DDM262196:DDM262201 CTQ262196:CTQ262201 CJU262196:CJU262201 BZY262196:BZY262201 BQC262196:BQC262201 BGG262196:BGG262201 AWK262196:AWK262201 AMO262196:AMO262201 ACS262196:ACS262201 SW262196:SW262201 JA262196:JA262201 WVM262187 WLQ262187 WBU262187 VRY262187 VIC262187 UYG262187 UOK262187 UEO262187 TUS262187 TKW262187 TBA262187 SRE262187 SHI262187 RXM262187 RNQ262187 RDU262187 QTY262187 QKC262187 QAG262187 PQK262187 PGO262187 OWS262187 OMW262187 ODA262187 NTE262187 NJI262187 MZM262187 MPQ262187 MFU262187 LVY262187 LMC262187 LCG262187 KSK262187 KIO262187 JYS262187 JOW262187 JFA262187 IVE262187 ILI262187 IBM262187 HRQ262187 HHU262187 GXY262187 GOC262187 GEG262187 FUK262187 FKO262187 FAS262187 EQW262187 EHA262187 DXE262187 DNI262187 DDM262187 CTQ262187 CJU262187 BZY262187 BQC262187 BGG262187 AWK262187 AMO262187 ACS262187 SW262187 JA262187 WVM262185 WLQ262185 WBU262185 VRY262185 VIC262185 UYG262185 UOK262185 UEO262185 TUS262185 TKW262185 TBA262185 SRE262185 SHI262185 RXM262185 RNQ262185 RDU262185 QTY262185 QKC262185 QAG262185 PQK262185 PGO262185 OWS262185 OMW262185 ODA262185 NTE262185 NJI262185 MZM262185 MPQ262185 MFU262185 LVY262185 LMC262185 LCG262185 KSK262185 KIO262185 JYS262185 JOW262185 JFA262185 IVE262185 ILI262185 IBM262185 HRQ262185 HHU262185 GXY262185 GOC262185 GEG262185 FUK262185 FKO262185 FAS262185 EQW262185 EHA262185 DXE262185 DNI262185 DDM262185 CTQ262185 CJU262185 BZY262185 BQC262185 BGG262185 AWK262185 AMO262185 ACS262185 SW262185 JA262185 WVM262181 WLQ262181 WBU262181 VRY262181 VIC262181 UYG262181 UOK262181 UEO262181 TUS262181 TKW262181 TBA262181 SRE262181 SHI262181 RXM262181 RNQ262181 RDU262181 QTY262181 QKC262181 QAG262181 PQK262181 PGO262181 OWS262181 OMW262181 ODA262181 NTE262181 NJI262181 MZM262181 MPQ262181 MFU262181 LVY262181 LMC262181 LCG262181 KSK262181 KIO262181 JYS262181 JOW262181 JFA262181 IVE262181 ILI262181 IBM262181 HRQ262181 HHU262181 GXY262181 GOC262181 GEG262181 FUK262181 FKO262181 FAS262181 EQW262181 EHA262181 DXE262181 DNI262181 DDM262181 CTQ262181 CJU262181 BZY262181 BQC262181 BGG262181 AWK262181 AMO262181 ACS262181 SW262181 JA262181 WVM262179 WLQ262179 WBU262179 VRY262179 VIC262179 UYG262179 UOK262179 UEO262179 TUS262179 TKW262179 TBA262179 SRE262179 SHI262179 RXM262179 RNQ262179 RDU262179 QTY262179 QKC262179 QAG262179 PQK262179 PGO262179 OWS262179 OMW262179 ODA262179 NTE262179 NJI262179 MZM262179 MPQ262179 MFU262179 LVY262179 LMC262179 LCG262179 KSK262179 KIO262179 JYS262179 JOW262179 JFA262179 IVE262179 ILI262179 IBM262179 HRQ262179 HHU262179 GXY262179 GOC262179 GEG262179 FUK262179 FKO262179 FAS262179 EQW262179 EHA262179 DXE262179 DNI262179 DDM262179 CTQ262179 CJU262179 BZY262179 BQC262179 BGG262179 AWK262179 AMO262179 ACS262179 SW262179 JA262179 WVM196660:WVM196665 WLQ196660:WLQ196665 WBU196660:WBU196665 VRY196660:VRY196665 VIC196660:VIC196665 UYG196660:UYG196665 UOK196660:UOK196665 UEO196660:UEO196665 TUS196660:TUS196665 TKW196660:TKW196665 TBA196660:TBA196665 SRE196660:SRE196665 SHI196660:SHI196665 RXM196660:RXM196665 RNQ196660:RNQ196665 RDU196660:RDU196665 QTY196660:QTY196665 QKC196660:QKC196665 QAG196660:QAG196665 PQK196660:PQK196665 PGO196660:PGO196665 OWS196660:OWS196665 OMW196660:OMW196665 ODA196660:ODA196665 NTE196660:NTE196665 NJI196660:NJI196665 MZM196660:MZM196665 MPQ196660:MPQ196665 MFU196660:MFU196665 LVY196660:LVY196665 LMC196660:LMC196665 LCG196660:LCG196665 KSK196660:KSK196665 KIO196660:KIO196665 JYS196660:JYS196665 JOW196660:JOW196665 JFA196660:JFA196665 IVE196660:IVE196665 ILI196660:ILI196665 IBM196660:IBM196665 HRQ196660:HRQ196665 HHU196660:HHU196665 GXY196660:GXY196665 GOC196660:GOC196665 GEG196660:GEG196665 FUK196660:FUK196665 FKO196660:FKO196665 FAS196660:FAS196665 EQW196660:EQW196665 EHA196660:EHA196665 DXE196660:DXE196665 DNI196660:DNI196665 DDM196660:DDM196665 CTQ196660:CTQ196665 CJU196660:CJU196665 BZY196660:BZY196665 BQC196660:BQC196665 BGG196660:BGG196665 AWK196660:AWK196665 AMO196660:AMO196665 ACS196660:ACS196665 SW196660:SW196665 JA196660:JA196665 WVM196651 WLQ196651 WBU196651 VRY196651 VIC196651 UYG196651 UOK196651 UEO196651 TUS196651 TKW196651 TBA196651 SRE196651 SHI196651 RXM196651 RNQ196651 RDU196651 QTY196651 QKC196651 QAG196651 PQK196651 PGO196651 OWS196651 OMW196651 ODA196651 NTE196651 NJI196651 MZM196651 MPQ196651 MFU196651 LVY196651 LMC196651 LCG196651 KSK196651 KIO196651 JYS196651 JOW196651 JFA196651 IVE196651 ILI196651 IBM196651 HRQ196651 HHU196651 GXY196651 GOC196651 GEG196651 FUK196651 FKO196651 FAS196651 EQW196651 EHA196651 DXE196651 DNI196651 DDM196651 CTQ196651 CJU196651 BZY196651 BQC196651 BGG196651 AWK196651 AMO196651 ACS196651 SW196651 JA196651 WVM196649 WLQ196649 WBU196649 VRY196649 VIC196649 UYG196649 UOK196649 UEO196649 TUS196649 TKW196649 TBA196649 SRE196649 SHI196649 RXM196649 RNQ196649 RDU196649 QTY196649 QKC196649 QAG196649 PQK196649 PGO196649 OWS196649 OMW196649 ODA196649 NTE196649 NJI196649 MZM196649 MPQ196649 MFU196649 LVY196649 LMC196649 LCG196649 KSK196649 KIO196649 JYS196649 JOW196649 JFA196649 IVE196649 ILI196649 IBM196649 HRQ196649 HHU196649 GXY196649 GOC196649 GEG196649 FUK196649 FKO196649 FAS196649 EQW196649 EHA196649 DXE196649 DNI196649 DDM196649 CTQ196649 CJU196649 BZY196649 BQC196649 BGG196649 AWK196649 AMO196649 ACS196649 SW196649 JA196649 WVM196645 WLQ196645 WBU196645 VRY196645 VIC196645 UYG196645 UOK196645 UEO196645 TUS196645 TKW196645 TBA196645 SRE196645 SHI196645 RXM196645 RNQ196645 RDU196645 QTY196645 QKC196645 QAG196645 PQK196645 PGO196645 OWS196645 OMW196645 ODA196645 NTE196645 NJI196645 MZM196645 MPQ196645 MFU196645 LVY196645 LMC196645 LCG196645 KSK196645 KIO196645 JYS196645 JOW196645 JFA196645 IVE196645 ILI196645 IBM196645 HRQ196645 HHU196645 GXY196645 GOC196645 GEG196645 FUK196645 FKO196645 FAS196645 EQW196645 EHA196645 DXE196645 DNI196645 DDM196645 CTQ196645 CJU196645 BZY196645 BQC196645 BGG196645 AWK196645 AMO196645 ACS196645 SW196645 JA196645 WVM196643 WLQ196643 WBU196643 VRY196643 VIC196643 UYG196643 UOK196643 UEO196643 TUS196643 TKW196643 TBA196643 SRE196643 SHI196643 RXM196643 RNQ196643 RDU196643 QTY196643 QKC196643 QAG196643 PQK196643 PGO196643 OWS196643 OMW196643 ODA196643 NTE196643 NJI196643 MZM196643 MPQ196643 MFU196643 LVY196643 LMC196643 LCG196643 KSK196643 KIO196643 JYS196643 JOW196643 JFA196643 IVE196643 ILI196643 IBM196643 HRQ196643 HHU196643 GXY196643 GOC196643 GEG196643 FUK196643 FKO196643 FAS196643 EQW196643 EHA196643 DXE196643 DNI196643 DDM196643 CTQ196643 CJU196643 BZY196643 BQC196643 BGG196643 AWK196643 AMO196643 ACS196643 SW196643 JA196643 WVM131124:WVM131129 WLQ131124:WLQ131129 WBU131124:WBU131129 VRY131124:VRY131129 VIC131124:VIC131129 UYG131124:UYG131129 UOK131124:UOK131129 UEO131124:UEO131129 TUS131124:TUS131129 TKW131124:TKW131129 TBA131124:TBA131129 SRE131124:SRE131129 SHI131124:SHI131129 RXM131124:RXM131129 RNQ131124:RNQ131129 RDU131124:RDU131129 QTY131124:QTY131129 QKC131124:QKC131129 QAG131124:QAG131129 PQK131124:PQK131129 PGO131124:PGO131129 OWS131124:OWS131129 OMW131124:OMW131129 ODA131124:ODA131129 NTE131124:NTE131129 NJI131124:NJI131129 MZM131124:MZM131129 MPQ131124:MPQ131129 MFU131124:MFU131129 LVY131124:LVY131129 LMC131124:LMC131129 LCG131124:LCG131129 KSK131124:KSK131129 KIO131124:KIO131129 JYS131124:JYS131129 JOW131124:JOW131129 JFA131124:JFA131129 IVE131124:IVE131129 ILI131124:ILI131129 IBM131124:IBM131129 HRQ131124:HRQ131129 HHU131124:HHU131129 GXY131124:GXY131129 GOC131124:GOC131129 GEG131124:GEG131129 FUK131124:FUK131129 FKO131124:FKO131129 FAS131124:FAS131129 EQW131124:EQW131129 EHA131124:EHA131129 DXE131124:DXE131129 DNI131124:DNI131129 DDM131124:DDM131129 CTQ131124:CTQ131129 CJU131124:CJU131129 BZY131124:BZY131129 BQC131124:BQC131129 BGG131124:BGG131129 AWK131124:AWK131129 AMO131124:AMO131129 ACS131124:ACS131129 SW131124:SW131129 JA131124:JA131129 WVM131115 WLQ131115 WBU131115 VRY131115 VIC131115 UYG131115 UOK131115 UEO131115 TUS131115 TKW131115 TBA131115 SRE131115 SHI131115 RXM131115 RNQ131115 RDU131115 QTY131115 QKC131115 QAG131115 PQK131115 PGO131115 OWS131115 OMW131115 ODA131115 NTE131115 NJI131115 MZM131115 MPQ131115 MFU131115 LVY131115 LMC131115 LCG131115 KSK131115 KIO131115 JYS131115 JOW131115 JFA131115 IVE131115 ILI131115 IBM131115 HRQ131115 HHU131115 GXY131115 GOC131115 GEG131115 FUK131115 FKO131115 FAS131115 EQW131115 EHA131115 DXE131115 DNI131115 DDM131115 CTQ131115 CJU131115 BZY131115 BQC131115 BGG131115 AWK131115 AMO131115 ACS131115 SW131115 JA131115 WVM131113 WLQ131113 WBU131113 VRY131113 VIC131113 UYG131113 UOK131113 UEO131113 TUS131113 TKW131113 TBA131113 SRE131113 SHI131113 RXM131113 RNQ131113 RDU131113 QTY131113 QKC131113 QAG131113 PQK131113 PGO131113 OWS131113 OMW131113 ODA131113 NTE131113 NJI131113 MZM131113 MPQ131113 MFU131113 LVY131113 LMC131113 LCG131113 KSK131113 KIO131113 JYS131113 JOW131113 JFA131113 IVE131113 ILI131113 IBM131113 HRQ131113 HHU131113 GXY131113 GOC131113 GEG131113 FUK131113 FKO131113 FAS131113 EQW131113 EHA131113 DXE131113 DNI131113 DDM131113 CTQ131113 CJU131113 BZY131113 BQC131113 BGG131113 AWK131113 AMO131113 ACS131113 SW131113 JA131113 WVM131109 WLQ131109 WBU131109 VRY131109 VIC131109 UYG131109 UOK131109 UEO131109 TUS131109 TKW131109 TBA131109 SRE131109 SHI131109 RXM131109 RNQ131109 RDU131109 QTY131109 QKC131109 QAG131109 PQK131109 PGO131109 OWS131109 OMW131109 ODA131109 NTE131109 NJI131109 MZM131109 MPQ131109 MFU131109 LVY131109 LMC131109 LCG131109 KSK131109 KIO131109 JYS131109 JOW131109 JFA131109 IVE131109 ILI131109 IBM131109 HRQ131109 HHU131109 GXY131109 GOC131109 GEG131109 FUK131109 FKO131109 FAS131109 EQW131109 EHA131109 DXE131109 DNI131109 DDM131109 CTQ131109 CJU131109 BZY131109 BQC131109 BGG131109 AWK131109 AMO131109 ACS131109 SW131109 JA131109 WVM131107 WLQ131107 WBU131107 VRY131107 VIC131107 UYG131107 UOK131107 UEO131107 TUS131107 TKW131107 TBA131107 SRE131107 SHI131107 RXM131107 RNQ131107 RDU131107 QTY131107 QKC131107 QAG131107 PQK131107 PGO131107 OWS131107 OMW131107 ODA131107 NTE131107 NJI131107 MZM131107 MPQ131107 MFU131107 LVY131107 LMC131107 LCG131107 KSK131107 KIO131107 JYS131107 JOW131107 JFA131107 IVE131107 ILI131107 IBM131107 HRQ131107 HHU131107 GXY131107 GOC131107 GEG131107 FUK131107 FKO131107 FAS131107 EQW131107 EHA131107 DXE131107 DNI131107 DDM131107 CTQ131107 CJU131107 BZY131107 BQC131107 BGG131107 AWK131107 AMO131107 ACS131107 SW131107 JA131107 WVM65588:WVM65593 WLQ65588:WLQ65593 WBU65588:WBU65593 VRY65588:VRY65593 VIC65588:VIC65593 UYG65588:UYG65593 UOK65588:UOK65593 UEO65588:UEO65593 TUS65588:TUS65593 TKW65588:TKW65593 TBA65588:TBA65593 SRE65588:SRE65593 SHI65588:SHI65593 RXM65588:RXM65593 RNQ65588:RNQ65593 RDU65588:RDU65593 QTY65588:QTY65593 QKC65588:QKC65593 QAG65588:QAG65593 PQK65588:PQK65593 PGO65588:PGO65593 OWS65588:OWS65593 OMW65588:OMW65593 ODA65588:ODA65593 NTE65588:NTE65593 NJI65588:NJI65593 MZM65588:MZM65593 MPQ65588:MPQ65593 MFU65588:MFU65593 LVY65588:LVY65593 LMC65588:LMC65593 LCG65588:LCG65593 KSK65588:KSK65593 KIO65588:KIO65593 JYS65588:JYS65593 JOW65588:JOW65593 JFA65588:JFA65593 IVE65588:IVE65593 ILI65588:ILI65593 IBM65588:IBM65593 HRQ65588:HRQ65593 HHU65588:HHU65593 GXY65588:GXY65593 GOC65588:GOC65593 GEG65588:GEG65593 FUK65588:FUK65593 FKO65588:FKO65593 FAS65588:FAS65593 EQW65588:EQW65593 EHA65588:EHA65593 DXE65588:DXE65593 DNI65588:DNI65593 DDM65588:DDM65593 CTQ65588:CTQ65593 CJU65588:CJU65593 BZY65588:BZY65593 BQC65588:BQC65593 BGG65588:BGG65593 AWK65588:AWK65593 AMO65588:AMO65593 ACS65588:ACS65593 SW65588:SW65593 JA65588:JA65593 WVM65579 WLQ65579 WBU65579 VRY65579 VIC65579 UYG65579 UOK65579 UEO65579 TUS65579 TKW65579 TBA65579 SRE65579 SHI65579 RXM65579 RNQ65579 RDU65579 QTY65579 QKC65579 QAG65579 PQK65579 PGO65579 OWS65579 OMW65579 ODA65579 NTE65579 NJI65579 MZM65579 MPQ65579 MFU65579 LVY65579 LMC65579 LCG65579 KSK65579 KIO65579 JYS65579 JOW65579 JFA65579 IVE65579 ILI65579 IBM65579 HRQ65579 HHU65579 GXY65579 GOC65579 GEG65579 FUK65579 FKO65579 FAS65579 EQW65579 EHA65579 DXE65579 DNI65579 DDM65579 CTQ65579 CJU65579 BZY65579 BQC65579 BGG65579 AWK65579 AMO65579 ACS65579 SW65579 JA65579 WVM65577 WLQ65577 WBU65577 VRY65577 VIC65577 UYG65577 UOK65577 UEO65577 TUS65577 TKW65577 TBA65577 SRE65577 SHI65577 RXM65577 RNQ65577 RDU65577 QTY65577 QKC65577 QAG65577 PQK65577 PGO65577 OWS65577 OMW65577 ODA65577 NTE65577 NJI65577 MZM65577 MPQ65577 MFU65577 LVY65577 LMC65577 LCG65577 KSK65577 KIO65577 JYS65577 JOW65577 JFA65577 IVE65577 ILI65577 IBM65577 HRQ65577 HHU65577 GXY65577 GOC65577 GEG65577 FUK65577 FKO65577 FAS65577 EQW65577 EHA65577 DXE65577 DNI65577 DDM65577 CTQ65577 CJU65577 BZY65577 BQC65577 BGG65577 AWK65577 AMO65577 ACS65577 SW65577 JA65577 WVM65573 WLQ65573 WBU65573 VRY65573 VIC65573 UYG65573 UOK65573 UEO65573 TUS65573 TKW65573 TBA65573 SRE65573 SHI65573 RXM65573 RNQ65573 RDU65573 QTY65573 QKC65573 QAG65573 PQK65573 PGO65573 OWS65573 OMW65573 ODA65573 NTE65573 NJI65573 MZM65573 MPQ65573 MFU65573 LVY65573 LMC65573 LCG65573 KSK65573 KIO65573 JYS65573 JOW65573 JFA65573 IVE65573 ILI65573 IBM65573 HRQ65573 HHU65573 GXY65573 GOC65573 GEG65573 FUK65573 FKO65573 FAS65573 EQW65573 EHA65573 DXE65573 DNI65573 DDM65573 CTQ65573 CJU65573 BZY65573 BQC65573 BGG65573 AWK65573 AMO65573 ACS65573 SW65573 JA65573 WVM65571 WLQ65571 WBU65571 VRY65571 VIC65571 UYG65571 UOK65571 UEO65571 TUS65571 TKW65571 TBA65571 SRE65571 SHI65571 RXM65571 RNQ65571 RDU65571 QTY65571 QKC65571 QAG65571 PQK65571 PGO65571 OWS65571 OMW65571 ODA65571 NTE65571 NJI65571 MZM65571 MPQ65571 MFU65571 LVY65571 LMC65571 LCG65571 KSK65571 KIO65571 JYS65571 JOW65571 JFA65571 IVE65571 ILI65571 IBM65571 HRQ65571 HHU65571 GXY65571 GOC65571 GEG65571 FUK65571 FKO65571 FAS65571 EQW65571 EHA65571 DXE65571 DNI65571 DDM65571 CTQ65571 CJU65571 BZY65571 BQC65571 BGG65571 AWK65571 AMO65571 ACS65571 SW65571 JA65571 JA131121:JA131122 WVM983147:WVM983150 WVM983089:WVM983090 WVM917553:WVM917554 WVM852017:WVM852018 WVM786481:WVM786482 WVM720945:WVM720946 WVM655409:WVM655410 WVM589873:WVM589874 WVM524337:WVM524338 WVM458801:WVM458802 WVM393265:WVM393266 WVM327729:WVM327730 WVM262193:WVM262194 WVM196657:WVM196658 WVM131121:WVM131122 WVM65585:WVM65586 WLQ983089:WLQ983090 WLQ917553:WLQ917554 WLQ852017:WLQ852018 WLQ786481:WLQ786482 WLQ720945:WLQ720946 WLQ655409:WLQ655410 WLQ589873:WLQ589874 WLQ524337:WLQ524338 WLQ458801:WLQ458802 WLQ393265:WLQ393266 WLQ327729:WLQ327730 WLQ262193:WLQ262194 WLQ196657:WLQ196658 WLQ131121:WLQ131122 WLQ65585:WLQ65586 WBU983089:WBU983090 WBU917553:WBU917554 WBU852017:WBU852018 WBU786481:WBU786482 WBU720945:WBU720946 WBU655409:WBU655410 WBU589873:WBU589874 WBU524337:WBU524338 WBU458801:WBU458802 WBU393265:WBU393266 WBU327729:WBU327730 WBU262193:WBU262194 WBU196657:WBU196658 WBU131121:WBU131122 WBU65585:WBU65586 VRY983089:VRY983090 VRY917553:VRY917554 VRY852017:VRY852018 VRY786481:VRY786482 VRY720945:VRY720946 VRY655409:VRY655410 VRY589873:VRY589874 VRY524337:VRY524338 VRY458801:VRY458802 VRY393265:VRY393266 VRY327729:VRY327730 VRY262193:VRY262194 VRY196657:VRY196658 VRY131121:VRY131122 VRY65585:VRY65586 VIC983089:VIC983090 VIC917553:VIC917554 VIC852017:VIC852018 VIC786481:VIC786482 VIC720945:VIC720946 VIC655409:VIC655410 VIC589873:VIC589874 VIC524337:VIC524338 VIC458801:VIC458802 VIC393265:VIC393266 VIC327729:VIC327730 VIC262193:VIC262194 VIC196657:VIC196658 VIC131121:VIC131122 VIC65585:VIC65586 UYG983089:UYG983090 UYG917553:UYG917554 UYG852017:UYG852018 UYG786481:UYG786482 UYG720945:UYG720946 UYG655409:UYG655410 UYG589873:UYG589874 UYG524337:UYG524338 UYG458801:UYG458802 UYG393265:UYG393266 UYG327729:UYG327730 UYG262193:UYG262194 UYG196657:UYG196658 UYG131121:UYG131122 UYG65585:UYG65586 UOK983089:UOK983090 UOK917553:UOK917554 UOK852017:UOK852018 UOK786481:UOK786482 UOK720945:UOK720946 UOK655409:UOK655410 UOK589873:UOK589874 UOK524337:UOK524338 UOK458801:UOK458802 UOK393265:UOK393266 UOK327729:UOK327730 UOK262193:UOK262194 UOK196657:UOK196658 UOK131121:UOK131122 UOK65585:UOK65586 UEO983089:UEO983090 UEO917553:UEO917554 UEO852017:UEO852018 UEO786481:UEO786482 UEO720945:UEO720946 UEO655409:UEO655410 UEO589873:UEO589874 UEO524337:UEO524338 UEO458801:UEO458802 UEO393265:UEO393266 UEO327729:UEO327730 UEO262193:UEO262194 UEO196657:UEO196658 UEO131121:UEO131122 UEO65585:UEO65586 TUS983089:TUS983090 TUS917553:TUS917554 TUS852017:TUS852018 TUS786481:TUS786482 TUS720945:TUS720946 TUS655409:TUS655410 TUS589873:TUS589874 TUS524337:TUS524338 TUS458801:TUS458802 TUS393265:TUS393266 TUS327729:TUS327730 TUS262193:TUS262194 TUS196657:TUS196658 TUS131121:TUS131122 TUS65585:TUS65586 TKW983089:TKW983090 TKW917553:TKW917554 TKW852017:TKW852018 TKW786481:TKW786482 TKW720945:TKW720946 TKW655409:TKW655410 TKW589873:TKW589874 TKW524337:TKW524338 TKW458801:TKW458802 TKW393265:TKW393266 TKW327729:TKW327730 TKW262193:TKW262194 TKW196657:TKW196658 TKW131121:TKW131122 TKW65585:TKW65586 TBA983089:TBA983090 TBA917553:TBA917554 TBA852017:TBA852018 TBA786481:TBA786482 TBA720945:TBA720946 TBA655409:TBA655410 TBA589873:TBA589874 TBA524337:TBA524338 TBA458801:TBA458802 TBA393265:TBA393266 TBA327729:TBA327730 TBA262193:TBA262194 TBA196657:TBA196658 TBA131121:TBA131122 TBA65585:TBA65586 SRE983089:SRE983090 SRE917553:SRE917554 SRE852017:SRE852018 SRE786481:SRE786482 SRE720945:SRE720946 SRE655409:SRE655410 SRE589873:SRE589874 SRE524337:SRE524338 SRE458801:SRE458802 SRE393265:SRE393266 SRE327729:SRE327730 SRE262193:SRE262194 SRE196657:SRE196658 SRE131121:SRE131122 SRE65585:SRE65586 SHI983089:SHI983090 SHI917553:SHI917554 SHI852017:SHI852018 SHI786481:SHI786482 SHI720945:SHI720946 SHI655409:SHI655410 SHI589873:SHI589874 SHI524337:SHI524338 SHI458801:SHI458802 SHI393265:SHI393266 SHI327729:SHI327730 SHI262193:SHI262194 SHI196657:SHI196658 SHI131121:SHI131122 SHI65585:SHI65586 RXM983089:RXM983090 RXM917553:RXM917554 RXM852017:RXM852018 RXM786481:RXM786482 RXM720945:RXM720946 RXM655409:RXM655410 RXM589873:RXM589874 RXM524337:RXM524338 RXM458801:RXM458802 RXM393265:RXM393266 RXM327729:RXM327730 RXM262193:RXM262194 RXM196657:RXM196658 RXM131121:RXM131122 RXM65585:RXM65586 RNQ983089:RNQ983090 RNQ917553:RNQ917554 RNQ852017:RNQ852018 RNQ786481:RNQ786482 RNQ720945:RNQ720946 RNQ655409:RNQ655410 RNQ589873:RNQ589874 RNQ524337:RNQ524338 RNQ458801:RNQ458802 RNQ393265:RNQ393266 RNQ327729:RNQ327730 RNQ262193:RNQ262194 RNQ196657:RNQ196658 RNQ131121:RNQ131122 RNQ65585:RNQ65586 RDU983089:RDU983090 RDU917553:RDU917554 RDU852017:RDU852018 RDU786481:RDU786482 RDU720945:RDU720946 RDU655409:RDU655410 RDU589873:RDU589874 RDU524337:RDU524338 RDU458801:RDU458802 RDU393265:RDU393266 RDU327729:RDU327730 RDU262193:RDU262194 RDU196657:RDU196658 RDU131121:RDU131122 RDU65585:RDU65586 QTY983089:QTY983090 QTY917553:QTY917554 QTY852017:QTY852018 QTY786481:QTY786482 QTY720945:QTY720946 QTY655409:QTY655410 QTY589873:QTY589874 QTY524337:QTY524338 QTY458801:QTY458802 QTY393265:QTY393266 QTY327729:QTY327730 QTY262193:QTY262194 QTY196657:QTY196658 QTY131121:QTY131122 QTY65585:QTY65586 QKC983089:QKC983090 QKC917553:QKC917554 QKC852017:QKC852018 QKC786481:QKC786482 QKC720945:QKC720946 QKC655409:QKC655410 QKC589873:QKC589874 QKC524337:QKC524338 QKC458801:QKC458802 QKC393265:QKC393266 QKC327729:QKC327730 QKC262193:QKC262194 QKC196657:QKC196658 QKC131121:QKC131122 QKC65585:QKC65586 QAG983089:QAG983090 QAG917553:QAG917554 QAG852017:QAG852018 QAG786481:QAG786482 QAG720945:QAG720946 QAG655409:QAG655410 QAG589873:QAG589874 QAG524337:QAG524338 QAG458801:QAG458802 QAG393265:QAG393266 QAG327729:QAG327730 QAG262193:QAG262194 QAG196657:QAG196658 QAG131121:QAG131122 QAG65585:QAG65586 PQK983089:PQK983090 PQK917553:PQK917554 PQK852017:PQK852018 PQK786481:PQK786482 PQK720945:PQK720946 PQK655409:PQK655410 PQK589873:PQK589874 PQK524337:PQK524338 PQK458801:PQK458802 PQK393265:PQK393266 PQK327729:PQK327730 PQK262193:PQK262194 PQK196657:PQK196658 PQK131121:PQK131122 PQK65585:PQK65586 PGO983089:PGO983090 PGO917553:PGO917554 PGO852017:PGO852018 PGO786481:PGO786482 PGO720945:PGO720946 PGO655409:PGO655410 PGO589873:PGO589874 PGO524337:PGO524338 PGO458801:PGO458802 PGO393265:PGO393266 PGO327729:PGO327730 PGO262193:PGO262194 PGO196657:PGO196658 PGO131121:PGO131122 PGO65585:PGO65586 OWS983089:OWS983090 OWS917553:OWS917554 OWS852017:OWS852018 OWS786481:OWS786482 OWS720945:OWS720946 OWS655409:OWS655410 OWS589873:OWS589874 OWS524337:OWS524338 OWS458801:OWS458802 OWS393265:OWS393266 OWS327729:OWS327730 OWS262193:OWS262194 OWS196657:OWS196658 OWS131121:OWS131122 OWS65585:OWS65586 OMW983089:OMW983090 OMW917553:OMW917554 OMW852017:OMW852018 OMW786481:OMW786482 OMW720945:OMW720946 OMW655409:OMW655410 OMW589873:OMW589874 OMW524337:OMW524338 OMW458801:OMW458802 OMW393265:OMW393266 OMW327729:OMW327730 OMW262193:OMW262194 OMW196657:OMW196658 OMW131121:OMW131122 OMW65585:OMW65586 ODA983089:ODA983090 ODA917553:ODA917554 ODA852017:ODA852018 ODA786481:ODA786482 ODA720945:ODA720946 ODA655409:ODA655410 ODA589873:ODA589874 ODA524337:ODA524338 ODA458801:ODA458802 ODA393265:ODA393266 ODA327729:ODA327730 ODA262193:ODA262194 ODA196657:ODA196658 ODA131121:ODA131122 ODA65585:ODA65586 NTE983089:NTE983090 NTE917553:NTE917554 NTE852017:NTE852018 NTE786481:NTE786482 NTE720945:NTE720946 NTE655409:NTE655410 NTE589873:NTE589874 NTE524337:NTE524338 NTE458801:NTE458802 NTE393265:NTE393266 NTE327729:NTE327730 NTE262193:NTE262194 NTE196657:NTE196658 NTE131121:NTE131122 NTE65585:NTE65586 NJI983089:NJI983090 NJI917553:NJI917554 NJI852017:NJI852018 NJI786481:NJI786482 NJI720945:NJI720946 NJI655409:NJI655410 NJI589873:NJI589874 NJI524337:NJI524338 NJI458801:NJI458802 NJI393265:NJI393266 NJI327729:NJI327730 NJI262193:NJI262194 NJI196657:NJI196658 NJI131121:NJI131122 NJI65585:NJI65586 MZM983089:MZM983090 MZM917553:MZM917554 MZM852017:MZM852018 MZM786481:MZM786482 MZM720945:MZM720946 MZM655409:MZM655410 MZM589873:MZM589874 MZM524337:MZM524338 MZM458801:MZM458802 MZM393265:MZM393266 MZM327729:MZM327730 MZM262193:MZM262194 MZM196657:MZM196658 MZM131121:MZM131122 MZM65585:MZM65586 MPQ983089:MPQ983090 MPQ917553:MPQ917554 MPQ852017:MPQ852018 MPQ786481:MPQ786482 MPQ720945:MPQ720946 MPQ655409:MPQ655410 MPQ589873:MPQ589874 MPQ524337:MPQ524338 MPQ458801:MPQ458802 MPQ393265:MPQ393266 MPQ327729:MPQ327730 MPQ262193:MPQ262194 MPQ196657:MPQ196658 MPQ131121:MPQ131122 MPQ65585:MPQ65586 MFU983089:MFU983090 MFU917553:MFU917554 MFU852017:MFU852018 MFU786481:MFU786482 MFU720945:MFU720946 MFU655409:MFU655410 MFU589873:MFU589874 MFU524337:MFU524338 MFU458801:MFU458802 MFU393265:MFU393266 MFU327729:MFU327730 MFU262193:MFU262194 MFU196657:MFU196658 MFU131121:MFU131122 MFU65585:MFU65586 LVY983089:LVY983090 LVY917553:LVY917554 LVY852017:LVY852018 LVY786481:LVY786482 LVY720945:LVY720946 LVY655409:LVY655410 LVY589873:LVY589874 LVY524337:LVY524338 LVY458801:LVY458802 LVY393265:LVY393266 LVY327729:LVY327730 LVY262193:LVY262194 LVY196657:LVY196658 LVY131121:LVY131122 LVY65585:LVY65586 LMC983089:LMC983090 LMC917553:LMC917554 LMC852017:LMC852018 LMC786481:LMC786482 LMC720945:LMC720946 LMC655409:LMC655410 LMC589873:LMC589874 LMC524337:LMC524338 LMC458801:LMC458802 LMC393265:LMC393266 LMC327729:LMC327730 LMC262193:LMC262194 LMC196657:LMC196658 LMC131121:LMC131122 LMC65585:LMC65586 LCG983089:LCG983090 LCG917553:LCG917554 LCG852017:LCG852018 LCG786481:LCG786482 LCG720945:LCG720946 LCG655409:LCG655410 LCG589873:LCG589874 LCG524337:LCG524338 LCG458801:LCG458802 LCG393265:LCG393266 LCG327729:LCG327730 LCG262193:LCG262194 LCG196657:LCG196658 LCG131121:LCG131122 LCG65585:LCG65586 KSK983089:KSK983090 KSK917553:KSK917554 KSK852017:KSK852018 KSK786481:KSK786482 KSK720945:KSK720946 KSK655409:KSK655410 KSK589873:KSK589874 KSK524337:KSK524338 KSK458801:KSK458802 KSK393265:KSK393266 KSK327729:KSK327730 KSK262193:KSK262194 KSK196657:KSK196658 KSK131121:KSK131122 KSK65585:KSK65586 KIO983089:KIO983090 KIO917553:KIO917554 KIO852017:KIO852018 KIO786481:KIO786482 KIO720945:KIO720946 KIO655409:KIO655410 KIO589873:KIO589874 KIO524337:KIO524338 KIO458801:KIO458802 KIO393265:KIO393266 KIO327729:KIO327730 KIO262193:KIO262194 KIO196657:KIO196658 KIO131121:KIO131122 KIO65585:KIO65586 JYS983089:JYS983090 JYS917553:JYS917554 JYS852017:JYS852018 JYS786481:JYS786482 JYS720945:JYS720946 JYS655409:JYS655410 JYS589873:JYS589874 JYS524337:JYS524338 JYS458801:JYS458802 JYS393265:JYS393266 JYS327729:JYS327730 JYS262193:JYS262194 JYS196657:JYS196658 JYS131121:JYS131122 JYS65585:JYS65586 JOW983089:JOW983090 JOW917553:JOW917554 JOW852017:JOW852018 JOW786481:JOW786482 JOW720945:JOW720946 JOW655409:JOW655410 JOW589873:JOW589874 JOW524337:JOW524338 JOW458801:JOW458802 JOW393265:JOW393266 JOW327729:JOW327730 JOW262193:JOW262194 JOW196657:JOW196658 JOW131121:JOW131122 JOW65585:JOW65586 JFA983089:JFA983090 JFA917553:JFA917554 JFA852017:JFA852018 JFA786481:JFA786482 JFA720945:JFA720946 JFA655409:JFA655410 JFA589873:JFA589874 JFA524337:JFA524338 JFA458801:JFA458802 JFA393265:JFA393266 JFA327729:JFA327730 JFA262193:JFA262194 JFA196657:JFA196658 JFA131121:JFA131122 JFA65585:JFA65586 IVE983089:IVE983090 IVE917553:IVE917554 IVE852017:IVE852018 IVE786481:IVE786482 IVE720945:IVE720946 IVE655409:IVE655410 IVE589873:IVE589874 IVE524337:IVE524338 IVE458801:IVE458802 IVE393265:IVE393266 IVE327729:IVE327730 IVE262193:IVE262194 IVE196657:IVE196658 IVE131121:IVE131122 IVE65585:IVE65586 ILI983089:ILI983090 ILI917553:ILI917554 ILI852017:ILI852018 ILI786481:ILI786482 ILI720945:ILI720946 ILI655409:ILI655410 ILI589873:ILI589874 ILI524337:ILI524338 ILI458801:ILI458802 ILI393265:ILI393266 ILI327729:ILI327730 ILI262193:ILI262194 ILI196657:ILI196658 ILI131121:ILI131122 ILI65585:ILI65586 IBM983089:IBM983090 IBM917553:IBM917554 IBM852017:IBM852018 IBM786481:IBM786482 IBM720945:IBM720946 IBM655409:IBM655410 IBM589873:IBM589874 IBM524337:IBM524338 IBM458801:IBM458802 IBM393265:IBM393266 IBM327729:IBM327730 IBM262193:IBM262194 IBM196657:IBM196658 IBM131121:IBM131122 IBM65585:IBM65586 HRQ983089:HRQ983090 HRQ917553:HRQ917554 HRQ852017:HRQ852018 HRQ786481:HRQ786482 HRQ720945:HRQ720946 HRQ655409:HRQ655410 HRQ589873:HRQ589874 HRQ524337:HRQ524338 HRQ458801:HRQ458802 HRQ393265:HRQ393266 HRQ327729:HRQ327730 HRQ262193:HRQ262194 HRQ196657:HRQ196658 HRQ131121:HRQ131122 HRQ65585:HRQ65586 HHU983089:HHU983090 HHU917553:HHU917554 HHU852017:HHU852018 HHU786481:HHU786482 HHU720945:HHU720946 HHU655409:HHU655410 HHU589873:HHU589874 HHU524337:HHU524338 HHU458801:HHU458802 HHU393265:HHU393266 HHU327729:HHU327730 HHU262193:HHU262194 HHU196657:HHU196658 HHU131121:HHU131122 HHU65585:HHU65586 GXY983089:GXY983090 GXY917553:GXY917554 GXY852017:GXY852018 GXY786481:GXY786482 GXY720945:GXY720946 GXY655409:GXY655410 GXY589873:GXY589874 GXY524337:GXY524338 GXY458801:GXY458802 GXY393265:GXY393266 GXY327729:GXY327730 GXY262193:GXY262194 GXY196657:GXY196658 GXY131121:GXY131122 GXY65585:GXY65586 GOC983089:GOC983090 GOC917553:GOC917554 GOC852017:GOC852018 GOC786481:GOC786482 GOC720945:GOC720946 GOC655409:GOC655410 GOC589873:GOC589874 GOC524337:GOC524338 GOC458801:GOC458802 GOC393265:GOC393266 GOC327729:GOC327730 GOC262193:GOC262194 GOC196657:GOC196658 GOC131121:GOC131122 GOC65585:GOC65586 GEG983089:GEG983090 GEG917553:GEG917554 GEG852017:GEG852018 GEG786481:GEG786482 GEG720945:GEG720946 GEG655409:GEG655410 GEG589873:GEG589874 GEG524337:GEG524338 GEG458801:GEG458802 GEG393265:GEG393266 GEG327729:GEG327730 GEG262193:GEG262194 GEG196657:GEG196658 GEG131121:GEG131122 GEG65585:GEG65586 FUK983089:FUK983090 FUK917553:FUK917554 FUK852017:FUK852018 FUK786481:FUK786482 FUK720945:FUK720946 FUK655409:FUK655410 FUK589873:FUK589874 FUK524337:FUK524338 FUK458801:FUK458802 FUK393265:FUK393266 FUK327729:FUK327730 FUK262193:FUK262194 FUK196657:FUK196658 FUK131121:FUK131122 FUK65585:FUK65586 FKO983089:FKO983090 FKO917553:FKO917554 FKO852017:FKO852018 FKO786481:FKO786482 FKO720945:FKO720946 FKO655409:FKO655410 FKO589873:FKO589874 FKO524337:FKO524338 FKO458801:FKO458802 FKO393265:FKO393266 FKO327729:FKO327730 FKO262193:FKO262194 FKO196657:FKO196658 FKO131121:FKO131122 FKO65585:FKO65586 FAS983089:FAS983090 FAS917553:FAS917554 FAS852017:FAS852018 FAS786481:FAS786482 FAS720945:FAS720946 FAS655409:FAS655410 FAS589873:FAS589874 FAS524337:FAS524338 FAS458801:FAS458802 FAS393265:FAS393266 FAS327729:FAS327730 FAS262193:FAS262194 FAS196657:FAS196658 FAS131121:FAS131122 FAS65585:FAS65586 EQW983089:EQW983090 EQW917553:EQW917554 EQW852017:EQW852018 EQW786481:EQW786482 EQW720945:EQW720946 EQW655409:EQW655410 EQW589873:EQW589874 EQW524337:EQW524338 EQW458801:EQW458802 EQW393265:EQW393266 EQW327729:EQW327730 EQW262193:EQW262194 EQW196657:EQW196658 EQW131121:EQW131122 EQW65585:EQW65586 EHA983089:EHA983090 EHA917553:EHA917554 EHA852017:EHA852018 EHA786481:EHA786482 EHA720945:EHA720946 EHA655409:EHA655410 EHA589873:EHA589874 EHA524337:EHA524338 EHA458801:EHA458802 EHA393265:EHA393266 EHA327729:EHA327730 EHA262193:EHA262194 EHA196657:EHA196658 EHA131121:EHA131122 EHA65585:EHA65586 DXE983089:DXE983090 DXE917553:DXE917554 DXE852017:DXE852018 DXE786481:DXE786482 DXE720945:DXE720946 DXE655409:DXE655410 DXE589873:DXE589874 DXE524337:DXE524338 DXE458801:DXE458802 DXE393265:DXE393266 DXE327729:DXE327730 DXE262193:DXE262194 DXE196657:DXE196658 DXE131121:DXE131122 DXE65585:DXE65586 DNI983089:DNI983090 DNI917553:DNI917554 DNI852017:DNI852018 DNI786481:DNI786482 DNI720945:DNI720946 DNI655409:DNI655410 DNI589873:DNI589874 DNI524337:DNI524338 DNI458801:DNI458802 DNI393265:DNI393266 DNI327729:DNI327730 DNI262193:DNI262194 DNI196657:DNI196658 DNI131121:DNI131122 DNI65585:DNI65586 DDM983089:DDM983090 DDM917553:DDM917554 DDM852017:DDM852018 DDM786481:DDM786482 DDM720945:DDM720946 DDM655409:DDM655410 DDM589873:DDM589874 DDM524337:DDM524338 DDM458801:DDM458802 DDM393265:DDM393266 DDM327729:DDM327730 DDM262193:DDM262194 DDM196657:DDM196658 DDM131121:DDM131122 DDM65585:DDM65586 CTQ983089:CTQ983090 CTQ917553:CTQ917554 CTQ852017:CTQ852018 CTQ786481:CTQ786482 CTQ720945:CTQ720946 CTQ655409:CTQ655410 CTQ589873:CTQ589874 CTQ524337:CTQ524338 CTQ458801:CTQ458802 CTQ393265:CTQ393266 CTQ327729:CTQ327730 CTQ262193:CTQ262194 CTQ196657:CTQ196658 CTQ131121:CTQ131122 CTQ65585:CTQ65586 CJU983089:CJU983090 CJU917553:CJU917554 CJU852017:CJU852018 CJU786481:CJU786482 CJU720945:CJU720946 CJU655409:CJU655410 CJU589873:CJU589874 CJU524337:CJU524338 CJU458801:CJU458802 CJU393265:CJU393266 CJU327729:CJU327730 CJU262193:CJU262194 CJU196657:CJU196658 CJU131121:CJU131122 CJU65585:CJU65586 BZY983089:BZY983090 BZY917553:BZY917554 BZY852017:BZY852018 BZY786481:BZY786482 BZY720945:BZY720946 BZY655409:BZY655410 BZY589873:BZY589874 BZY524337:BZY524338 BZY458801:BZY458802 BZY393265:BZY393266 BZY327729:BZY327730 BZY262193:BZY262194 BZY196657:BZY196658 BZY131121:BZY131122 BZY65585:BZY65586 BQC983089:BQC983090 BQC917553:BQC917554 BQC852017:BQC852018 BQC786481:BQC786482 BQC720945:BQC720946 BQC655409:BQC655410 BQC589873:BQC589874 BQC524337:BQC524338 BQC458801:BQC458802 BQC393265:BQC393266 BQC327729:BQC327730 BQC262193:BQC262194 BQC196657:BQC196658 BQC131121:BQC131122 BQC65585:BQC65586 BGG983089:BGG983090 BGG917553:BGG917554 BGG852017:BGG852018 BGG786481:BGG786482 BGG720945:BGG720946 BGG655409:BGG655410 BGG589873:BGG589874 BGG524337:BGG524338 BGG458801:BGG458802 BGG393265:BGG393266 BGG327729:BGG327730 BGG262193:BGG262194 BGG196657:BGG196658 BGG131121:BGG131122 BGG65585:BGG65586 AWK983089:AWK983090 AWK917553:AWK917554 AWK852017:AWK852018 AWK786481:AWK786482 AWK720945:AWK720946 AWK655409:AWK655410 AWK589873:AWK589874 AWK524337:AWK524338 AWK458801:AWK458802 AWK393265:AWK393266 AWK327729:AWK327730 AWK262193:AWK262194 AWK196657:AWK196658 AWK131121:AWK131122 AWK65585:AWK65586 AMO983089:AMO983090 AMO917553:AMO917554 AMO852017:AMO852018 AMO786481:AMO786482 AMO720945:AMO720946 AMO655409:AMO655410 AMO589873:AMO589874 AMO524337:AMO524338 AMO458801:AMO458802 AMO393265:AMO393266 AMO327729:AMO327730 AMO262193:AMO262194 AMO196657:AMO196658 AMO131121:AMO131122 AMO65585:AMO65586 ACS983089:ACS983090 ACS917553:ACS917554 ACS852017:ACS852018 ACS786481:ACS786482 ACS720945:ACS720946 ACS655409:ACS655410 ACS589873:ACS589874 ACS524337:ACS524338 ACS458801:ACS458802 ACS393265:ACS393266 ACS327729:ACS327730 ACS262193:ACS262194 ACS196657:ACS196658 ACS131121:ACS131122 ACS65585:ACS65586 SW983089:SW983090 SW917553:SW917554 SW852017:SW852018 SW786481:SW786482 SW720945:SW720946 SW655409:SW655410 SW589873:SW589874 SW524337:SW524338 SW458801:SW458802 SW393265:SW393266 SW327729:SW327730 SW262193:SW262194 SW196657:SW196658 SW131121:SW131122 SW65585:SW65586 JA983089:JA983090 JA917553:JA917554 JA852017:JA852018 JA786481:JA786482 JA720945:JA720946 JA655409:JA655410 JA589873:JA589874 JA524337:JA524338 JA458801:JA458802 JA393265:JA393266 JA327729:JA327730 JA262193:JA262194 JA196657:JA196658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967C3-1CA2-4A92-8E89-92AA01067CEC}">
  <sheetPr>
    <tabColor rgb="FFFFFF00"/>
    <pageSetUpPr fitToPage="1"/>
  </sheetPr>
  <dimension ref="A1:X114"/>
  <sheetViews>
    <sheetView topLeftCell="A10" zoomScale="70" zoomScaleNormal="70" zoomScaleSheetLayoutView="64" workbookViewId="0">
      <selection activeCell="F28" sqref="F28"/>
    </sheetView>
  </sheetViews>
  <sheetFormatPr defaultColWidth="9" defaultRowHeight="14.25"/>
  <cols>
    <col min="1" max="1" width="6.7109375" style="1" customWidth="1"/>
    <col min="2" max="2" width="54.42578125" style="8" customWidth="1"/>
    <col min="3" max="3" width="19.28515625" style="1" customWidth="1"/>
    <col min="4" max="4" width="14.42578125" style="2" customWidth="1"/>
    <col min="5" max="5" width="15.42578125" style="1" customWidth="1"/>
    <col min="6" max="6" width="20.42578125" style="1" customWidth="1"/>
    <col min="7" max="7" width="24.7109375" style="3" customWidth="1"/>
    <col min="8" max="8" width="24.7109375" style="23" customWidth="1"/>
    <col min="9" max="9" width="17" style="3" hidden="1" customWidth="1"/>
    <col min="10" max="10" width="2.42578125" style="3" hidden="1" customWidth="1"/>
    <col min="11" max="11" width="21.42578125" style="3" hidden="1" customWidth="1"/>
    <col min="12" max="12" width="13.7109375" style="3" hidden="1" customWidth="1"/>
    <col min="13" max="13" width="14" style="3" hidden="1" customWidth="1"/>
    <col min="14" max="14" width="14.42578125" style="3" hidden="1" customWidth="1"/>
    <col min="15" max="17" width="0" style="3" hidden="1" customWidth="1"/>
    <col min="18" max="18" width="12.28515625" style="3" bestFit="1" customWidth="1"/>
    <col min="19" max="19" width="35.28515625" style="3" customWidth="1"/>
    <col min="20" max="20" width="24" style="2" customWidth="1"/>
    <col min="21" max="21" width="25.7109375" style="1" customWidth="1"/>
    <col min="22" max="22" width="3.5703125" style="269" customWidth="1"/>
    <col min="23" max="23" width="43.42578125" style="3" customWidth="1"/>
    <col min="24" max="24" width="20.28515625" style="3" customWidth="1"/>
    <col min="25" max="16384" width="9" style="3"/>
  </cols>
  <sheetData>
    <row r="1" spans="1:24" s="255" customFormat="1" ht="65.25" customHeight="1">
      <c r="A1" s="436" t="s">
        <v>156</v>
      </c>
      <c r="B1" s="436"/>
      <c r="C1" s="436"/>
      <c r="D1" s="436"/>
      <c r="E1" s="436"/>
      <c r="F1" s="436"/>
      <c r="G1" s="436"/>
      <c r="H1" s="436"/>
      <c r="I1" s="254"/>
      <c r="T1" s="350"/>
      <c r="U1" s="342"/>
      <c r="V1" s="268"/>
    </row>
    <row r="2" spans="1:24" ht="37.5" customHeight="1">
      <c r="A2" s="437" t="s">
        <v>141</v>
      </c>
      <c r="B2" s="437"/>
      <c r="C2" s="437"/>
      <c r="D2" s="437"/>
      <c r="E2" s="437"/>
      <c r="F2" s="437"/>
      <c r="G2" s="437"/>
      <c r="H2" s="437"/>
      <c r="I2" s="29"/>
      <c r="S2" s="277" t="s">
        <v>170</v>
      </c>
      <c r="T2" s="277" t="s">
        <v>212</v>
      </c>
      <c r="U2" s="277" t="s">
        <v>172</v>
      </c>
      <c r="W2" s="277" t="s">
        <v>173</v>
      </c>
      <c r="X2" s="277" t="s">
        <v>202</v>
      </c>
    </row>
    <row r="3" spans="1:24" ht="30" customHeight="1">
      <c r="A3" s="438" t="s">
        <v>157</v>
      </c>
      <c r="B3" s="438"/>
      <c r="C3" s="438"/>
      <c r="D3" s="438"/>
      <c r="E3" s="438"/>
      <c r="F3" s="438"/>
      <c r="G3" s="438"/>
      <c r="H3" s="438"/>
      <c r="I3" s="29"/>
      <c r="S3" s="278" t="s">
        <v>204</v>
      </c>
      <c r="T3" s="351" t="s">
        <v>214</v>
      </c>
      <c r="U3" s="343" t="s">
        <v>215</v>
      </c>
      <c r="W3" s="279" t="s">
        <v>174</v>
      </c>
      <c r="X3" s="322">
        <v>5</v>
      </c>
    </row>
    <row r="4" spans="1:24" ht="30" customHeight="1">
      <c r="A4" s="439" t="s">
        <v>158</v>
      </c>
      <c r="B4" s="439"/>
      <c r="C4" s="439"/>
      <c r="D4" s="439"/>
      <c r="E4" s="439"/>
      <c r="F4" s="439"/>
      <c r="G4" s="439"/>
      <c r="H4" s="439"/>
      <c r="I4" s="29"/>
      <c r="S4" s="278" t="s">
        <v>160</v>
      </c>
      <c r="T4" s="351"/>
      <c r="U4" s="343" t="s">
        <v>216</v>
      </c>
      <c r="W4" s="279" t="s">
        <v>175</v>
      </c>
      <c r="X4" s="322">
        <v>3.5</v>
      </c>
    </row>
    <row r="5" spans="1:24" ht="30" customHeight="1">
      <c r="A5" s="440" t="s">
        <v>205</v>
      </c>
      <c r="B5" s="440"/>
      <c r="C5" s="440"/>
      <c r="D5" s="440"/>
      <c r="E5" s="440"/>
      <c r="F5" s="440"/>
      <c r="G5" s="440"/>
      <c r="H5" s="440"/>
      <c r="I5" s="29"/>
      <c r="S5" s="278"/>
      <c r="T5" s="351"/>
      <c r="U5" s="343"/>
      <c r="W5" s="279" t="s">
        <v>176</v>
      </c>
      <c r="X5" s="322">
        <v>2</v>
      </c>
    </row>
    <row r="6" spans="1:24" ht="30" customHeight="1">
      <c r="A6" s="253"/>
      <c r="B6" s="253"/>
      <c r="C6" s="253"/>
      <c r="D6" s="253"/>
      <c r="E6" s="253"/>
      <c r="F6" s="253"/>
      <c r="G6" s="253"/>
      <c r="H6" s="253"/>
      <c r="I6" s="29"/>
      <c r="S6" s="278"/>
      <c r="T6" s="351"/>
      <c r="U6" s="343"/>
      <c r="W6" s="279" t="s">
        <v>177</v>
      </c>
      <c r="X6" s="322">
        <v>6</v>
      </c>
    </row>
    <row r="7" spans="1:24" ht="30" customHeight="1">
      <c r="A7" s="423" t="s">
        <v>159</v>
      </c>
      <c r="B7" s="423"/>
      <c r="C7" s="259"/>
      <c r="D7" s="430" t="s">
        <v>210</v>
      </c>
      <c r="E7" s="430"/>
      <c r="F7" s="253"/>
      <c r="G7" s="253"/>
      <c r="H7" s="253"/>
      <c r="I7" s="29"/>
      <c r="S7" s="278"/>
      <c r="T7" s="351"/>
      <c r="U7" s="343"/>
      <c r="W7" s="279" t="s">
        <v>178</v>
      </c>
      <c r="X7" s="322">
        <v>2</v>
      </c>
    </row>
    <row r="8" spans="1:24" ht="30" customHeight="1">
      <c r="A8" s="260"/>
      <c r="B8" s="304" t="s">
        <v>204</v>
      </c>
      <c r="C8" s="261"/>
      <c r="D8" s="431" t="s">
        <v>211</v>
      </c>
      <c r="E8" s="431"/>
      <c r="F8" s="300"/>
      <c r="G8" s="263" t="s">
        <v>163</v>
      </c>
      <c r="H8" s="265" t="s">
        <v>203</v>
      </c>
      <c r="I8" s="29"/>
      <c r="S8" s="278"/>
      <c r="T8" s="351"/>
      <c r="U8" s="343"/>
      <c r="W8" s="279" t="s">
        <v>179</v>
      </c>
      <c r="X8" s="322">
        <v>5</v>
      </c>
    </row>
    <row r="9" spans="1:24" ht="30" customHeight="1">
      <c r="A9" s="424" t="s">
        <v>161</v>
      </c>
      <c r="B9" s="424"/>
      <c r="C9" s="259"/>
      <c r="D9" s="253"/>
      <c r="E9" s="301"/>
      <c r="F9" s="302"/>
      <c r="G9" s="253"/>
      <c r="H9" s="253"/>
      <c r="I9" s="29"/>
      <c r="S9" s="278"/>
      <c r="T9" s="351"/>
      <c r="U9" s="343"/>
      <c r="W9" s="279" t="s">
        <v>179</v>
      </c>
      <c r="X9" s="322"/>
    </row>
    <row r="10" spans="1:24" ht="30" customHeight="1">
      <c r="A10" s="260"/>
      <c r="B10" s="262" t="s">
        <v>213</v>
      </c>
      <c r="C10" s="260"/>
      <c r="D10" s="253"/>
      <c r="E10" s="264"/>
      <c r="F10" s="303"/>
      <c r="G10" s="264" t="s">
        <v>4</v>
      </c>
      <c r="H10" s="266">
        <v>45925</v>
      </c>
      <c r="I10" s="29"/>
      <c r="S10" s="278"/>
      <c r="T10" s="351"/>
      <c r="U10" s="343"/>
      <c r="W10" s="279" t="s">
        <v>180</v>
      </c>
      <c r="X10" s="322"/>
    </row>
    <row r="11" spans="1:24" ht="30" customHeight="1">
      <c r="A11" s="424" t="s">
        <v>162</v>
      </c>
      <c r="B11" s="424"/>
      <c r="C11" s="259"/>
      <c r="D11" s="253"/>
      <c r="E11" s="253"/>
      <c r="F11" s="253"/>
      <c r="G11" s="253"/>
      <c r="H11" s="253"/>
      <c r="I11" s="29"/>
      <c r="S11" s="278"/>
      <c r="T11" s="351"/>
      <c r="U11" s="343"/>
      <c r="W11" s="279" t="s">
        <v>181</v>
      </c>
      <c r="X11" s="322"/>
    </row>
    <row r="12" spans="1:24" ht="30" customHeight="1">
      <c r="A12" s="261"/>
      <c r="B12" s="341"/>
      <c r="C12" s="260"/>
      <c r="D12" s="253"/>
      <c r="E12" s="253"/>
      <c r="F12" s="253"/>
      <c r="G12" s="253"/>
      <c r="H12" s="253"/>
      <c r="I12" s="29"/>
      <c r="S12" s="278"/>
      <c r="T12" s="351"/>
      <c r="U12" s="343"/>
      <c r="W12" s="279" t="s">
        <v>182</v>
      </c>
      <c r="X12" s="322"/>
    </row>
    <row r="13" spans="1:24" ht="30" customHeight="1" thickBot="1">
      <c r="A13" s="261"/>
      <c r="B13" s="261"/>
      <c r="C13" s="259"/>
      <c r="D13" s="253"/>
      <c r="E13" s="253"/>
      <c r="F13" s="253"/>
      <c r="G13" s="253"/>
      <c r="H13" s="253"/>
      <c r="I13" s="29"/>
      <c r="S13" s="278"/>
      <c r="T13" s="351"/>
      <c r="U13" s="343"/>
      <c r="W13" s="279" t="s">
        <v>182</v>
      </c>
      <c r="X13" s="322"/>
    </row>
    <row r="14" spans="1:24" ht="45.75" customHeight="1" thickBot="1">
      <c r="A14" s="328" t="s">
        <v>164</v>
      </c>
      <c r="B14" s="328" t="s">
        <v>165</v>
      </c>
      <c r="C14" s="328" t="s">
        <v>166</v>
      </c>
      <c r="D14" s="328" t="s">
        <v>196</v>
      </c>
      <c r="E14" s="328" t="s">
        <v>167</v>
      </c>
      <c r="F14" s="328" t="s">
        <v>168</v>
      </c>
      <c r="G14" s="328" t="s">
        <v>169</v>
      </c>
      <c r="H14" s="328" t="s">
        <v>54</v>
      </c>
      <c r="I14" s="29"/>
      <c r="S14" s="278"/>
      <c r="T14" s="351"/>
      <c r="U14" s="343"/>
      <c r="W14" s="279" t="s">
        <v>183</v>
      </c>
      <c r="X14" s="322"/>
    </row>
    <row r="15" spans="1:24" s="10" customFormat="1" ht="37.5" customHeight="1">
      <c r="A15" s="333">
        <v>1</v>
      </c>
      <c r="B15" s="295" t="s">
        <v>180</v>
      </c>
      <c r="C15" s="296">
        <v>45950</v>
      </c>
      <c r="D15" s="325" t="s">
        <v>197</v>
      </c>
      <c r="E15" s="326">
        <v>120</v>
      </c>
      <c r="F15" s="327">
        <v>5</v>
      </c>
      <c r="G15" s="327">
        <v>1.2</v>
      </c>
      <c r="H15" s="335">
        <f>(F15-G15)*E15</f>
        <v>456</v>
      </c>
      <c r="I15" s="8"/>
      <c r="J15" s="99"/>
      <c r="K15" s="8"/>
      <c r="L15" s="8"/>
      <c r="M15" s="9"/>
      <c r="N15" s="100"/>
      <c r="O15" s="9"/>
      <c r="P15" s="9"/>
      <c r="Q15" s="9"/>
      <c r="R15" s="9"/>
      <c r="S15" s="278"/>
      <c r="T15" s="351"/>
      <c r="U15" s="343"/>
      <c r="V15" s="270"/>
      <c r="W15" s="279" t="s">
        <v>184</v>
      </c>
      <c r="X15" s="323"/>
    </row>
    <row r="16" spans="1:24" s="4" customFormat="1" ht="37.5" customHeight="1">
      <c r="A16" s="333">
        <v>2</v>
      </c>
      <c r="B16" s="295"/>
      <c r="C16" s="296"/>
      <c r="D16" s="297"/>
      <c r="E16" s="298"/>
      <c r="F16" s="327"/>
      <c r="G16" s="299"/>
      <c r="H16" s="336">
        <f t="shared" ref="H16:H23" si="0">(F16-G16)*E16</f>
        <v>0</v>
      </c>
      <c r="I16" s="3"/>
      <c r="K16" s="111"/>
      <c r="L16" s="60"/>
      <c r="M16" s="104"/>
      <c r="N16" s="15"/>
      <c r="R16" s="121"/>
      <c r="S16" s="278"/>
      <c r="T16" s="351"/>
      <c r="U16" s="343"/>
      <c r="V16" s="271"/>
      <c r="W16" s="279" t="s">
        <v>185</v>
      </c>
      <c r="X16" s="322"/>
    </row>
    <row r="17" spans="1:24" s="4" customFormat="1" ht="37.5" customHeight="1">
      <c r="A17" s="333">
        <v>3</v>
      </c>
      <c r="B17" s="295"/>
      <c r="C17" s="296"/>
      <c r="D17" s="297"/>
      <c r="E17" s="298"/>
      <c r="F17" s="327"/>
      <c r="G17" s="299"/>
      <c r="H17" s="336">
        <f t="shared" si="0"/>
        <v>0</v>
      </c>
      <c r="I17" s="3"/>
      <c r="K17" s="111"/>
      <c r="L17" s="60"/>
      <c r="M17" s="104"/>
      <c r="N17" s="15"/>
      <c r="R17" s="121"/>
      <c r="S17" s="278"/>
      <c r="T17" s="351"/>
      <c r="U17" s="343"/>
      <c r="V17" s="271"/>
      <c r="W17" s="279" t="s">
        <v>186</v>
      </c>
      <c r="X17" s="322"/>
    </row>
    <row r="18" spans="1:24" s="4" customFormat="1" ht="37.5" customHeight="1">
      <c r="A18" s="333">
        <v>4</v>
      </c>
      <c r="B18" s="295"/>
      <c r="C18" s="296"/>
      <c r="D18" s="297"/>
      <c r="E18" s="298"/>
      <c r="F18" s="327"/>
      <c r="G18" s="299"/>
      <c r="H18" s="336">
        <f t="shared" si="0"/>
        <v>0</v>
      </c>
      <c r="I18" s="3"/>
      <c r="K18" s="111"/>
      <c r="L18" s="60"/>
      <c r="M18" s="104"/>
      <c r="N18" s="15"/>
      <c r="R18" s="121"/>
      <c r="S18" s="278"/>
      <c r="T18" s="351"/>
      <c r="U18" s="343"/>
      <c r="V18" s="271"/>
      <c r="W18" s="279" t="s">
        <v>187</v>
      </c>
      <c r="X18" s="322"/>
    </row>
    <row r="19" spans="1:24" s="4" customFormat="1" ht="37.5" customHeight="1">
      <c r="A19" s="333">
        <v>5</v>
      </c>
      <c r="B19" s="295"/>
      <c r="C19" s="296"/>
      <c r="D19" s="297"/>
      <c r="E19" s="298"/>
      <c r="F19" s="327"/>
      <c r="G19" s="299"/>
      <c r="H19" s="336">
        <f t="shared" si="0"/>
        <v>0</v>
      </c>
      <c r="I19" s="3"/>
      <c r="K19" s="111"/>
      <c r="L19" s="60"/>
      <c r="M19" s="104"/>
      <c r="N19" s="15"/>
      <c r="R19" s="121"/>
      <c r="S19" s="278"/>
      <c r="T19" s="351"/>
      <c r="U19" s="343"/>
      <c r="V19" s="271"/>
      <c r="W19" s="279" t="s">
        <v>188</v>
      </c>
      <c r="X19" s="322"/>
    </row>
    <row r="20" spans="1:24" s="4" customFormat="1" ht="37.5" customHeight="1">
      <c r="A20" s="333">
        <v>6</v>
      </c>
      <c r="B20" s="295"/>
      <c r="C20" s="296"/>
      <c r="D20" s="297"/>
      <c r="E20" s="298"/>
      <c r="F20" s="327"/>
      <c r="G20" s="299"/>
      <c r="H20" s="336">
        <f t="shared" si="0"/>
        <v>0</v>
      </c>
      <c r="I20" s="3"/>
      <c r="K20" s="111"/>
      <c r="L20" s="60"/>
      <c r="M20" s="104"/>
      <c r="N20" s="15"/>
      <c r="R20" s="121"/>
      <c r="S20" s="278"/>
      <c r="T20" s="351"/>
      <c r="U20" s="343"/>
      <c r="V20" s="271"/>
      <c r="W20" s="279" t="s">
        <v>187</v>
      </c>
      <c r="X20" s="322"/>
    </row>
    <row r="21" spans="1:24" s="4" customFormat="1" ht="37.5" customHeight="1">
      <c r="A21" s="333">
        <v>7</v>
      </c>
      <c r="B21" s="295"/>
      <c r="C21" s="296"/>
      <c r="D21" s="297"/>
      <c r="E21" s="298"/>
      <c r="F21" s="327"/>
      <c r="G21" s="299"/>
      <c r="H21" s="336">
        <f t="shared" si="0"/>
        <v>0</v>
      </c>
      <c r="I21" s="3"/>
      <c r="K21" s="111"/>
      <c r="L21" s="60"/>
      <c r="M21" s="104"/>
      <c r="N21" s="15"/>
      <c r="R21" s="121"/>
      <c r="S21" s="278"/>
      <c r="T21" s="351"/>
      <c r="U21" s="343"/>
      <c r="V21" s="271"/>
      <c r="W21" s="279" t="s">
        <v>189</v>
      </c>
      <c r="X21" s="322"/>
    </row>
    <row r="22" spans="1:24" ht="37.5" customHeight="1">
      <c r="A22" s="333">
        <v>8</v>
      </c>
      <c r="B22" s="295"/>
      <c r="C22" s="296"/>
      <c r="D22" s="297"/>
      <c r="E22" s="298"/>
      <c r="F22" s="327"/>
      <c r="G22" s="299"/>
      <c r="H22" s="336">
        <f t="shared" si="0"/>
        <v>0</v>
      </c>
      <c r="I22" s="114"/>
      <c r="K22" s="115" t="s">
        <v>0</v>
      </c>
      <c r="L22" s="14" t="e">
        <f>SUMIF(#REF!,K22,#REF!)</f>
        <v>#REF!</v>
      </c>
      <c r="M22" s="4"/>
      <c r="N22" s="4"/>
      <c r="O22" s="4"/>
      <c r="P22" s="4"/>
      <c r="Q22" s="4"/>
      <c r="R22" s="4"/>
      <c r="S22" s="108"/>
      <c r="T22" s="352"/>
      <c r="U22" s="344"/>
      <c r="V22" s="272"/>
      <c r="W22" s="279" t="s">
        <v>190</v>
      </c>
      <c r="X22" s="322"/>
    </row>
    <row r="23" spans="1:24" ht="37.5" customHeight="1" thickBot="1">
      <c r="A23" s="334">
        <v>9</v>
      </c>
      <c r="B23" s="329"/>
      <c r="C23" s="330"/>
      <c r="D23" s="331"/>
      <c r="E23" s="332"/>
      <c r="F23" s="327"/>
      <c r="G23" s="299"/>
      <c r="H23" s="336">
        <f t="shared" si="0"/>
        <v>0</v>
      </c>
      <c r="I23" s="114"/>
      <c r="K23" s="280"/>
      <c r="L23" s="60"/>
      <c r="M23" s="4"/>
      <c r="N23" s="4"/>
      <c r="O23" s="4"/>
      <c r="P23" s="4"/>
      <c r="Q23" s="4"/>
      <c r="R23" s="4"/>
      <c r="S23" s="108"/>
      <c r="T23" s="352"/>
      <c r="U23" s="344"/>
      <c r="V23" s="272"/>
      <c r="W23" s="279"/>
      <c r="X23" s="322"/>
    </row>
    <row r="24" spans="1:24" ht="37.5" customHeight="1">
      <c r="A24" s="289"/>
      <c r="B24" s="289"/>
      <c r="C24" s="289"/>
      <c r="D24" s="289"/>
      <c r="E24" s="289"/>
      <c r="F24" s="427" t="s">
        <v>217</v>
      </c>
      <c r="G24" s="428"/>
      <c r="H24" s="337">
        <f>SUM(H15:H23)</f>
        <v>456</v>
      </c>
      <c r="I24" s="114"/>
      <c r="K24" s="280"/>
      <c r="L24" s="60"/>
      <c r="M24" s="4"/>
      <c r="N24" s="4"/>
      <c r="O24" s="4"/>
      <c r="P24" s="4"/>
      <c r="Q24" s="4"/>
      <c r="R24" s="4"/>
      <c r="S24" s="358" t="s">
        <v>218</v>
      </c>
      <c r="T24" s="150">
        <f>H24/1.1</f>
        <v>414.5454545454545</v>
      </c>
      <c r="U24" s="344"/>
      <c r="V24" s="272"/>
      <c r="W24" s="279"/>
      <c r="X24" s="322"/>
    </row>
    <row r="25" spans="1:24" s="17" customFormat="1" ht="37.5" customHeight="1">
      <c r="A25" s="289"/>
      <c r="B25" s="306" t="s">
        <v>198</v>
      </c>
      <c r="C25" s="289"/>
      <c r="D25" s="289"/>
      <c r="E25" s="289"/>
      <c r="F25" s="432" t="s">
        <v>194</v>
      </c>
      <c r="G25" s="433"/>
      <c r="H25" s="339">
        <v>4060</v>
      </c>
      <c r="K25" s="18"/>
      <c r="L25" s="18"/>
      <c r="R25" s="139"/>
      <c r="S25" s="359" t="s">
        <v>192</v>
      </c>
      <c r="T25" s="353">
        <f>H24-T24</f>
        <v>41.454545454545496</v>
      </c>
      <c r="U25" s="345"/>
      <c r="V25" s="273"/>
      <c r="W25" s="279"/>
      <c r="X25" s="318"/>
    </row>
    <row r="26" spans="1:24" ht="37.5" customHeight="1" thickBot="1">
      <c r="B26" s="2"/>
      <c r="F26" s="434" t="s">
        <v>195</v>
      </c>
      <c r="G26" s="435"/>
      <c r="H26" s="340">
        <f>H25*H24</f>
        <v>1851360</v>
      </c>
      <c r="S26" s="358" t="s">
        <v>2</v>
      </c>
      <c r="T26" s="360">
        <f>SUM(T24:T25)</f>
        <v>456</v>
      </c>
      <c r="W26" s="279"/>
      <c r="X26" s="322"/>
    </row>
    <row r="27" spans="1:24" ht="37.5" customHeight="1">
      <c r="B27" s="305" t="s">
        <v>199</v>
      </c>
      <c r="F27" s="289"/>
      <c r="G27" s="289"/>
      <c r="T27" s="361">
        <f>H24-T26</f>
        <v>0</v>
      </c>
      <c r="W27" s="279"/>
      <c r="X27" s="322"/>
    </row>
    <row r="28" spans="1:24" ht="37.5" customHeight="1">
      <c r="B28" s="305" t="s">
        <v>200</v>
      </c>
      <c r="W28" s="279"/>
      <c r="X28" s="322"/>
    </row>
    <row r="29" spans="1:24" ht="37.5" customHeight="1">
      <c r="B29" s="305" t="s">
        <v>201</v>
      </c>
      <c r="W29" s="279"/>
      <c r="X29" s="322"/>
    </row>
    <row r="30" spans="1:24" ht="22.5">
      <c r="W30" s="279"/>
      <c r="X30" s="322"/>
    </row>
    <row r="31" spans="1:24" ht="22.5">
      <c r="F31" s="289"/>
      <c r="G31" s="289"/>
      <c r="H31" s="290"/>
      <c r="W31" s="279"/>
      <c r="X31" s="322"/>
    </row>
    <row r="32" spans="1:24" ht="22.5">
      <c r="F32" s="289"/>
      <c r="G32" s="289"/>
      <c r="H32" s="290"/>
      <c r="W32" s="279"/>
      <c r="X32" s="322"/>
    </row>
    <row r="33" spans="1:24" s="17" customFormat="1" ht="25.15" customHeight="1">
      <c r="A33" s="289"/>
      <c r="B33" s="289"/>
      <c r="C33" s="289"/>
      <c r="D33" s="289"/>
      <c r="E33" s="289"/>
      <c r="F33" s="289"/>
      <c r="G33" s="289"/>
      <c r="H33" s="290"/>
      <c r="K33" s="18"/>
      <c r="L33" s="18"/>
      <c r="R33" s="139"/>
      <c r="S33" s="138"/>
      <c r="T33" s="353"/>
      <c r="U33" s="345"/>
      <c r="V33" s="273"/>
      <c r="W33" s="279"/>
      <c r="X33" s="318"/>
    </row>
    <row r="34" spans="1:24" s="17" customFormat="1" ht="25.15" customHeight="1">
      <c r="A34" s="289"/>
      <c r="B34" s="289"/>
      <c r="C34" s="289"/>
      <c r="D34" s="289"/>
      <c r="E34" s="289"/>
      <c r="F34" s="293"/>
      <c r="G34" s="37"/>
      <c r="H34" s="30"/>
      <c r="K34" s="18"/>
      <c r="L34" s="18"/>
      <c r="R34" s="139"/>
      <c r="S34" s="138"/>
      <c r="T34" s="353"/>
      <c r="U34" s="345"/>
      <c r="V34" s="273"/>
      <c r="W34" s="276"/>
      <c r="X34" s="318"/>
    </row>
    <row r="35" spans="1:24" s="17" customFormat="1" ht="25.15" customHeight="1">
      <c r="A35" s="289"/>
      <c r="B35" s="289"/>
      <c r="C35" s="289"/>
      <c r="D35" s="289"/>
      <c r="E35" s="289"/>
      <c r="F35" s="39"/>
      <c r="G35" s="39"/>
      <c r="H35" s="30"/>
      <c r="K35" s="18"/>
      <c r="L35" s="18"/>
      <c r="R35" s="139"/>
      <c r="S35" s="138"/>
      <c r="T35" s="353"/>
      <c r="U35" s="345"/>
      <c r="V35" s="273"/>
      <c r="W35" s="276"/>
      <c r="X35" s="318"/>
    </row>
    <row r="36" spans="1:24" s="17" customFormat="1" ht="25.15" customHeight="1">
      <c r="A36" s="154"/>
      <c r="B36" s="294"/>
      <c r="C36" s="154"/>
      <c r="D36" s="153"/>
      <c r="E36" s="293"/>
      <c r="F36" s="30"/>
      <c r="G36" s="30"/>
      <c r="H36" s="30"/>
      <c r="K36" s="18"/>
      <c r="L36" s="18"/>
      <c r="R36" s="139"/>
      <c r="S36" s="138"/>
      <c r="T36" s="353"/>
      <c r="U36" s="345"/>
      <c r="V36" s="273"/>
      <c r="W36" s="276"/>
      <c r="X36" s="318"/>
    </row>
    <row r="37" spans="1:24" s="17" customFormat="1" ht="25.15" customHeight="1">
      <c r="A37" s="38"/>
      <c r="B37" s="38"/>
      <c r="C37" s="66"/>
      <c r="D37" s="36"/>
      <c r="E37" s="39"/>
      <c r="F37" s="30"/>
      <c r="G37" s="30"/>
      <c r="H37" s="30"/>
      <c r="K37" s="18"/>
      <c r="L37" s="18"/>
      <c r="R37" s="139"/>
      <c r="S37" s="138"/>
      <c r="T37" s="353"/>
      <c r="U37" s="345"/>
      <c r="V37" s="273"/>
      <c r="W37" s="276"/>
      <c r="X37" s="318"/>
    </row>
    <row r="38" spans="1:24" s="17" customFormat="1" ht="25.15" customHeight="1">
      <c r="A38" s="39"/>
      <c r="B38" s="39"/>
      <c r="C38" s="66"/>
      <c r="D38" s="36"/>
      <c r="E38" s="30"/>
      <c r="F38" s="429" t="s">
        <v>207</v>
      </c>
      <c r="G38" s="429"/>
      <c r="H38" s="311"/>
      <c r="K38" s="18"/>
      <c r="L38" s="18"/>
      <c r="R38" s="139"/>
      <c r="S38" s="138"/>
      <c r="T38" s="353"/>
      <c r="U38" s="345"/>
      <c r="V38" s="273"/>
      <c r="W38" s="276"/>
      <c r="X38" s="318"/>
    </row>
    <row r="39" spans="1:24" s="17" customFormat="1" ht="25.15" customHeight="1">
      <c r="A39" s="39"/>
      <c r="B39" s="39"/>
      <c r="C39" s="66"/>
      <c r="D39" s="36"/>
      <c r="E39" s="30"/>
      <c r="F39" s="319" t="s">
        <v>4</v>
      </c>
      <c r="G39" s="321"/>
      <c r="H39" s="311"/>
      <c r="K39" s="18"/>
      <c r="L39" s="18"/>
      <c r="R39" s="139"/>
      <c r="S39" s="138"/>
      <c r="T39" s="353"/>
      <c r="U39" s="345"/>
      <c r="V39" s="273"/>
      <c r="W39" s="276"/>
      <c r="X39" s="318"/>
    </row>
    <row r="40" spans="1:24" s="312" customFormat="1" ht="25.15" customHeight="1">
      <c r="A40" s="307"/>
      <c r="B40" s="308" t="s">
        <v>206</v>
      </c>
      <c r="C40" s="309"/>
      <c r="D40" s="310"/>
      <c r="E40" s="307"/>
      <c r="F40" s="42"/>
      <c r="G40" s="42"/>
      <c r="H40" s="290"/>
      <c r="K40" s="313"/>
      <c r="L40" s="313"/>
      <c r="R40" s="314"/>
      <c r="S40" s="315"/>
      <c r="T40" s="354"/>
      <c r="U40" s="346"/>
      <c r="V40" s="316"/>
      <c r="W40" s="317"/>
      <c r="X40" s="318"/>
    </row>
    <row r="41" spans="1:24" s="312" customFormat="1" ht="25.15" customHeight="1">
      <c r="A41" s="307"/>
      <c r="B41" s="319" t="s">
        <v>4</v>
      </c>
      <c r="C41" s="320"/>
      <c r="D41" s="310"/>
      <c r="E41" s="307"/>
      <c r="F41" s="32"/>
      <c r="G41" s="31"/>
      <c r="H41" s="35"/>
      <c r="K41" s="313"/>
      <c r="L41" s="313"/>
      <c r="T41" s="355"/>
      <c r="U41" s="347"/>
      <c r="V41" s="316"/>
      <c r="W41" s="317"/>
      <c r="X41" s="318"/>
    </row>
    <row r="42" spans="1:24" s="17" customFormat="1" ht="25.15" customHeight="1">
      <c r="A42" s="39"/>
      <c r="B42" s="39"/>
      <c r="C42" s="66"/>
      <c r="D42" s="36"/>
      <c r="E42" s="42"/>
      <c r="F42" s="37"/>
      <c r="G42" s="30"/>
      <c r="H42" s="267"/>
      <c r="K42" s="18"/>
      <c r="L42" s="18"/>
      <c r="T42" s="356"/>
      <c r="U42" s="348"/>
      <c r="V42" s="273"/>
      <c r="W42" s="276"/>
      <c r="X42" s="318"/>
    </row>
    <row r="43" spans="1:24" s="17" customFormat="1" ht="25.15" customHeight="1">
      <c r="A43" s="30"/>
      <c r="B43" s="64"/>
      <c r="C43" s="32"/>
      <c r="D43" s="33"/>
      <c r="E43" s="32"/>
      <c r="F43" s="39"/>
      <c r="G43" s="30"/>
      <c r="H43" s="256"/>
      <c r="K43" s="18"/>
      <c r="L43" s="18"/>
      <c r="R43" s="138"/>
      <c r="S43" s="275"/>
      <c r="T43" s="357"/>
      <c r="U43" s="349"/>
      <c r="V43" s="273"/>
      <c r="W43" s="276"/>
      <c r="X43" s="324"/>
    </row>
    <row r="44" spans="1:24" s="17" customFormat="1" ht="25.15" customHeight="1">
      <c r="A44" s="425"/>
      <c r="B44" s="425"/>
      <c r="C44" s="425"/>
      <c r="D44" s="153"/>
      <c r="E44" s="154"/>
      <c r="F44" s="30"/>
      <c r="G44" s="30"/>
      <c r="H44" s="257"/>
      <c r="K44" s="18"/>
      <c r="L44" s="18"/>
      <c r="T44" s="356"/>
      <c r="U44" s="348"/>
      <c r="V44" s="273"/>
      <c r="W44" s="276"/>
      <c r="X44" s="324"/>
    </row>
    <row r="45" spans="1:24" s="17" customFormat="1" ht="25.15" customHeight="1">
      <c r="A45" s="38"/>
      <c r="B45" s="66"/>
      <c r="C45" s="39"/>
      <c r="D45" s="36"/>
      <c r="E45" s="39"/>
      <c r="F45" s="30"/>
      <c r="G45" s="30"/>
      <c r="H45" s="257"/>
      <c r="K45" s="18"/>
      <c r="L45" s="18"/>
      <c r="T45" s="356"/>
      <c r="U45" s="348"/>
      <c r="V45" s="273"/>
      <c r="W45" s="276"/>
      <c r="X45" s="324"/>
    </row>
    <row r="46" spans="1:24" s="18" customFormat="1" ht="19.899999999999999" customHeight="1">
      <c r="A46" s="39"/>
      <c r="B46" s="66"/>
      <c r="C46" s="39"/>
      <c r="D46" s="36"/>
      <c r="E46" s="30"/>
      <c r="F46" s="39"/>
      <c r="G46" s="39"/>
      <c r="H46" s="258"/>
      <c r="T46" s="12"/>
      <c r="U46" s="11"/>
      <c r="V46" s="274"/>
      <c r="W46" s="276"/>
      <c r="X46" s="322"/>
    </row>
    <row r="47" spans="1:24" s="18" customFormat="1" ht="19.899999999999999" customHeight="1">
      <c r="A47" s="39"/>
      <c r="B47" s="66"/>
      <c r="C47" s="39"/>
      <c r="D47" s="36"/>
      <c r="E47" s="30"/>
      <c r="F47" s="39"/>
      <c r="G47" s="30"/>
      <c r="H47" s="17"/>
      <c r="T47" s="12"/>
      <c r="U47" s="11"/>
      <c r="V47" s="274"/>
      <c r="W47" s="276"/>
      <c r="X47" s="322"/>
    </row>
    <row r="48" spans="1:24" s="18" customFormat="1" ht="19.899999999999999" customHeight="1">
      <c r="A48" s="291"/>
      <c r="B48" s="66"/>
      <c r="C48" s="39"/>
      <c r="D48" s="36"/>
      <c r="E48" s="291"/>
      <c r="F48" s="39"/>
      <c r="G48" s="39"/>
      <c r="H48" s="258"/>
      <c r="T48" s="12"/>
      <c r="U48" s="11"/>
      <c r="V48" s="274"/>
      <c r="W48" s="276"/>
      <c r="X48" s="322"/>
    </row>
    <row r="49" spans="1:24" s="18" customFormat="1" ht="19.899999999999999" customHeight="1">
      <c r="A49" s="41"/>
      <c r="B49" s="66"/>
      <c r="C49" s="39"/>
      <c r="D49" s="36"/>
      <c r="E49" s="39"/>
      <c r="F49" s="42"/>
      <c r="G49" s="42"/>
      <c r="H49" s="39"/>
      <c r="T49" s="12"/>
      <c r="U49" s="11"/>
      <c r="V49" s="274"/>
      <c r="W49" s="276"/>
      <c r="X49" s="322"/>
    </row>
    <row r="50" spans="1:24" s="18" customFormat="1" ht="19.899999999999999" customHeight="1">
      <c r="A50" s="291"/>
      <c r="B50" s="426"/>
      <c r="C50" s="426"/>
      <c r="D50" s="36"/>
      <c r="E50" s="291"/>
      <c r="F50" s="38"/>
      <c r="G50" s="39"/>
      <c r="H50" s="43"/>
      <c r="T50" s="12"/>
      <c r="U50" s="11"/>
      <c r="V50" s="274"/>
      <c r="W50" s="276"/>
      <c r="X50" s="322"/>
    </row>
    <row r="51" spans="1:24" s="18" customFormat="1" ht="19.899999999999999" customHeight="1">
      <c r="A51" s="39"/>
      <c r="B51" s="66"/>
      <c r="C51" s="39"/>
      <c r="D51" s="36"/>
      <c r="E51" s="42"/>
      <c r="F51" s="38"/>
      <c r="G51" s="42"/>
      <c r="H51" s="43"/>
      <c r="T51" s="12"/>
      <c r="U51" s="11"/>
      <c r="V51" s="274"/>
      <c r="W51" s="276"/>
      <c r="X51" s="322"/>
    </row>
    <row r="52" spans="1:24" s="18" customFormat="1" ht="19.899999999999999" customHeight="1">
      <c r="A52" s="39"/>
      <c r="B52" s="66"/>
      <c r="C52" s="39"/>
      <c r="D52" s="36"/>
      <c r="E52" s="38"/>
      <c r="F52" s="282"/>
      <c r="G52" s="282"/>
      <c r="H52" s="43"/>
      <c r="T52" s="12"/>
      <c r="U52" s="11"/>
      <c r="V52" s="274"/>
      <c r="W52" s="276"/>
      <c r="X52" s="322"/>
    </row>
    <row r="53" spans="1:24" s="18" customFormat="1" ht="19.899999999999999" customHeight="1">
      <c r="A53" s="42"/>
      <c r="B53" s="66"/>
      <c r="C53" s="39"/>
      <c r="D53" s="36"/>
      <c r="E53" s="38"/>
      <c r="F53" s="284"/>
      <c r="G53" s="283"/>
      <c r="H53" s="43"/>
      <c r="T53" s="12"/>
      <c r="U53" s="11"/>
      <c r="V53" s="274"/>
      <c r="W53" s="276"/>
      <c r="X53" s="322"/>
    </row>
    <row r="54" spans="1:24" s="18" customFormat="1" ht="19.899999999999999" customHeight="1">
      <c r="A54" s="42"/>
      <c r="B54" s="66"/>
      <c r="C54" s="39"/>
      <c r="D54" s="282"/>
      <c r="E54" s="282"/>
      <c r="F54" s="281"/>
      <c r="G54" s="17"/>
      <c r="H54" s="43"/>
      <c r="T54" s="12"/>
      <c r="U54" s="11"/>
      <c r="V54" s="274"/>
      <c r="W54" s="276"/>
      <c r="X54" s="322"/>
    </row>
    <row r="55" spans="1:24" s="18" customFormat="1" ht="19.899999999999999" customHeight="1">
      <c r="A55" s="42"/>
      <c r="B55" s="66"/>
      <c r="C55" s="39"/>
      <c r="D55" s="283"/>
      <c r="E55" s="284"/>
      <c r="F55" s="281"/>
      <c r="G55" s="17"/>
      <c r="H55" s="43"/>
      <c r="T55" s="12"/>
      <c r="U55" s="11"/>
      <c r="V55" s="274"/>
      <c r="W55" s="276"/>
      <c r="X55" s="322"/>
    </row>
    <row r="56" spans="1:24" s="18" customFormat="1" ht="19.899999999999999" customHeight="1">
      <c r="A56" s="42"/>
      <c r="B56" s="66"/>
      <c r="C56" s="39"/>
      <c r="D56" s="17"/>
      <c r="E56" s="281"/>
      <c r="F56" s="281"/>
      <c r="G56" s="17"/>
      <c r="H56" s="43"/>
      <c r="T56" s="12"/>
      <c r="U56" s="11"/>
      <c r="V56" s="274"/>
      <c r="W56" s="276"/>
      <c r="X56" s="322"/>
    </row>
    <row r="57" spans="1:24" s="18" customFormat="1" ht="19.899999999999999" customHeight="1">
      <c r="A57" s="42"/>
      <c r="B57" s="66"/>
      <c r="C57" s="39"/>
      <c r="D57" s="17"/>
      <c r="E57" s="281"/>
      <c r="F57" s="281"/>
      <c r="G57" s="17"/>
      <c r="H57" s="43"/>
      <c r="T57" s="12"/>
      <c r="U57" s="11"/>
      <c r="V57" s="274"/>
      <c r="W57" s="276"/>
      <c r="X57" s="322"/>
    </row>
    <row r="58" spans="1:24" s="18" customFormat="1" ht="19.899999999999999" customHeight="1">
      <c r="A58" s="42"/>
      <c r="B58" s="66"/>
      <c r="C58" s="39"/>
      <c r="D58" s="17"/>
      <c r="E58" s="281"/>
      <c r="F58" s="281"/>
      <c r="G58" s="17"/>
      <c r="H58" s="43"/>
      <c r="T58" s="12"/>
      <c r="U58" s="11"/>
      <c r="V58" s="274"/>
      <c r="W58" s="276"/>
      <c r="X58" s="322"/>
    </row>
    <row r="59" spans="1:24" s="18" customFormat="1" ht="19.899999999999999" customHeight="1">
      <c r="A59" s="42"/>
      <c r="B59" s="66"/>
      <c r="C59" s="39"/>
      <c r="D59" s="17"/>
      <c r="E59" s="281"/>
      <c r="F59" s="281"/>
      <c r="G59" s="17"/>
      <c r="H59" s="43"/>
      <c r="T59" s="12"/>
      <c r="U59" s="11"/>
      <c r="V59" s="274"/>
      <c r="W59" s="276"/>
      <c r="X59" s="322"/>
    </row>
    <row r="60" spans="1:24" s="18" customFormat="1" ht="19.899999999999999" customHeight="1">
      <c r="A60" s="42"/>
      <c r="B60" s="66"/>
      <c r="C60" s="39"/>
      <c r="D60" s="17"/>
      <c r="E60" s="281"/>
      <c r="F60" s="281"/>
      <c r="G60" s="17"/>
      <c r="H60" s="43"/>
      <c r="T60" s="12"/>
      <c r="U60" s="11"/>
      <c r="V60" s="274"/>
      <c r="W60" s="276"/>
      <c r="X60" s="292"/>
    </row>
    <row r="61" spans="1:24" s="18" customFormat="1" ht="19.899999999999999" customHeight="1">
      <c r="A61" s="42"/>
      <c r="B61" s="66"/>
      <c r="C61" s="39"/>
      <c r="D61" s="17"/>
      <c r="E61" s="281"/>
      <c r="F61" s="281"/>
      <c r="G61" s="17"/>
      <c r="H61" s="43"/>
      <c r="T61" s="12"/>
      <c r="U61" s="11"/>
      <c r="V61" s="274"/>
      <c r="W61" s="276"/>
      <c r="X61" s="292"/>
    </row>
    <row r="62" spans="1:24" s="18" customFormat="1" ht="19.899999999999999" customHeight="1">
      <c r="A62" s="42"/>
      <c r="B62" s="66"/>
      <c r="C62" s="39"/>
      <c r="D62" s="17"/>
      <c r="E62" s="281"/>
      <c r="F62" s="281"/>
      <c r="G62" s="17"/>
      <c r="H62" s="43"/>
      <c r="T62" s="12"/>
      <c r="U62" s="11"/>
      <c r="V62" s="274"/>
      <c r="W62" s="276"/>
      <c r="X62" s="292"/>
    </row>
    <row r="63" spans="1:24" s="18" customFormat="1" ht="19.899999999999999" customHeight="1">
      <c r="A63" s="42"/>
      <c r="B63" s="66"/>
      <c r="C63" s="39"/>
      <c r="D63" s="17"/>
      <c r="E63" s="281"/>
      <c r="F63" s="281"/>
      <c r="G63" s="17"/>
      <c r="H63" s="43"/>
      <c r="T63" s="12"/>
      <c r="U63" s="11"/>
      <c r="V63" s="274"/>
      <c r="W63" s="276"/>
      <c r="X63" s="292"/>
    </row>
    <row r="64" spans="1:24" s="18" customFormat="1" ht="19.899999999999999" customHeight="1">
      <c r="A64" s="42"/>
      <c r="B64" s="66"/>
      <c r="C64" s="39"/>
      <c r="D64" s="17"/>
      <c r="E64" s="281"/>
      <c r="F64" s="281"/>
      <c r="G64" s="17"/>
      <c r="H64" s="43"/>
      <c r="T64" s="12"/>
      <c r="U64" s="11"/>
      <c r="V64" s="274"/>
      <c r="W64" s="276"/>
      <c r="X64" s="292"/>
    </row>
    <row r="65" spans="1:24" s="18" customFormat="1" ht="19.899999999999999" customHeight="1">
      <c r="A65" s="42"/>
      <c r="B65" s="66"/>
      <c r="C65" s="39"/>
      <c r="D65" s="17"/>
      <c r="E65" s="281"/>
      <c r="F65" s="281"/>
      <c r="G65" s="17"/>
      <c r="H65" s="43"/>
      <c r="T65" s="12"/>
      <c r="U65" s="11"/>
      <c r="V65" s="274"/>
      <c r="W65" s="276"/>
      <c r="X65" s="292"/>
    </row>
    <row r="66" spans="1:24" s="18" customFormat="1" ht="19.899999999999999" customHeight="1">
      <c r="A66" s="42"/>
      <c r="B66" s="66"/>
      <c r="C66" s="39"/>
      <c r="D66" s="17"/>
      <c r="E66" s="281"/>
      <c r="F66" s="281"/>
      <c r="G66" s="17"/>
      <c r="H66" s="43"/>
      <c r="T66" s="12"/>
      <c r="U66" s="11"/>
      <c r="V66" s="274"/>
      <c r="W66" s="276"/>
      <c r="X66" s="292"/>
    </row>
    <row r="67" spans="1:24" s="18" customFormat="1" ht="19.899999999999999" customHeight="1">
      <c r="A67" s="42"/>
      <c r="B67" s="66"/>
      <c r="C67" s="39"/>
      <c r="D67" s="17"/>
      <c r="E67" s="281"/>
      <c r="F67" s="281"/>
      <c r="G67" s="17"/>
      <c r="H67" s="43"/>
      <c r="T67" s="12"/>
      <c r="U67" s="11"/>
      <c r="V67" s="274"/>
      <c r="W67" s="276"/>
      <c r="X67" s="292"/>
    </row>
    <row r="68" spans="1:24" s="18" customFormat="1" ht="19.899999999999999" customHeight="1">
      <c r="A68" s="42"/>
      <c r="B68" s="66"/>
      <c r="C68" s="39"/>
      <c r="D68" s="17"/>
      <c r="E68" s="281"/>
      <c r="F68" s="281"/>
      <c r="G68" s="17"/>
      <c r="H68" s="43"/>
      <c r="T68" s="12"/>
      <c r="U68" s="11"/>
      <c r="V68" s="274"/>
      <c r="W68" s="276"/>
      <c r="X68" s="292"/>
    </row>
    <row r="69" spans="1:24" s="18" customFormat="1" ht="19.899999999999999" customHeight="1">
      <c r="A69" s="42"/>
      <c r="B69" s="66"/>
      <c r="C69" s="39"/>
      <c r="D69" s="17"/>
      <c r="E69" s="281"/>
      <c r="F69" s="281"/>
      <c r="G69" s="17"/>
      <c r="H69" s="43"/>
      <c r="T69" s="12"/>
      <c r="U69" s="11"/>
      <c r="V69" s="274"/>
      <c r="W69" s="276"/>
      <c r="X69" s="292"/>
    </row>
    <row r="70" spans="1:24" s="18" customFormat="1" ht="19.899999999999999" customHeight="1">
      <c r="A70" s="42"/>
      <c r="B70" s="66"/>
      <c r="C70" s="39"/>
      <c r="D70" s="17"/>
      <c r="E70" s="281"/>
      <c r="F70" s="281"/>
      <c r="G70" s="17"/>
      <c r="H70" s="43"/>
      <c r="T70" s="12"/>
      <c r="U70" s="11"/>
      <c r="V70" s="274"/>
      <c r="W70" s="276"/>
      <c r="X70" s="292"/>
    </row>
    <row r="71" spans="1:24" s="18" customFormat="1" ht="19.899999999999999" customHeight="1">
      <c r="A71" s="42"/>
      <c r="B71" s="66"/>
      <c r="C71" s="39"/>
      <c r="D71" s="17"/>
      <c r="E71" s="281"/>
      <c r="F71" s="281"/>
      <c r="G71" s="17"/>
      <c r="H71" s="43"/>
      <c r="T71" s="12"/>
      <c r="U71" s="11"/>
      <c r="V71" s="274"/>
      <c r="W71" s="276"/>
      <c r="X71" s="292"/>
    </row>
    <row r="72" spans="1:24" s="18" customFormat="1" ht="19.899999999999999" customHeight="1">
      <c r="A72" s="42"/>
      <c r="B72" s="66"/>
      <c r="C72" s="39"/>
      <c r="D72" s="17"/>
      <c r="E72" s="281"/>
      <c r="F72" s="281"/>
      <c r="G72" s="17"/>
      <c r="H72" s="43"/>
      <c r="T72" s="12"/>
      <c r="U72" s="11"/>
      <c r="V72" s="274"/>
      <c r="W72" s="276"/>
      <c r="X72" s="292"/>
    </row>
    <row r="73" spans="1:24" s="18" customFormat="1" ht="19.899999999999999" customHeight="1">
      <c r="A73" s="42"/>
      <c r="B73" s="66"/>
      <c r="C73" s="39"/>
      <c r="D73" s="17"/>
      <c r="E73" s="281"/>
      <c r="F73" s="281"/>
      <c r="G73" s="17"/>
      <c r="H73" s="43"/>
      <c r="T73" s="12"/>
      <c r="U73" s="11"/>
      <c r="V73" s="274"/>
      <c r="W73" s="276"/>
      <c r="X73" s="292"/>
    </row>
    <row r="74" spans="1:24" s="18" customFormat="1" ht="19.899999999999999" customHeight="1">
      <c r="A74" s="42"/>
      <c r="B74" s="66"/>
      <c r="C74" s="39"/>
      <c r="D74" s="17"/>
      <c r="E74" s="281"/>
      <c r="F74" s="281"/>
      <c r="G74" s="17"/>
      <c r="H74" s="43"/>
      <c r="T74" s="12"/>
      <c r="U74" s="11"/>
      <c r="V74" s="274"/>
      <c r="W74" s="276"/>
      <c r="X74" s="292"/>
    </row>
    <row r="75" spans="1:24" s="18" customFormat="1" ht="19.899999999999999" customHeight="1">
      <c r="A75" s="42"/>
      <c r="B75" s="66"/>
      <c r="C75" s="39"/>
      <c r="D75" s="17"/>
      <c r="E75" s="281"/>
      <c r="F75" s="281"/>
      <c r="G75" s="17"/>
      <c r="H75" s="43"/>
      <c r="T75" s="12"/>
      <c r="U75" s="11"/>
      <c r="V75" s="274"/>
      <c r="W75" s="276"/>
      <c r="X75" s="292"/>
    </row>
    <row r="76" spans="1:24" s="18" customFormat="1" ht="19.899999999999999" customHeight="1">
      <c r="A76" s="42"/>
      <c r="B76" s="66"/>
      <c r="C76" s="39"/>
      <c r="D76" s="17"/>
      <c r="E76" s="281"/>
      <c r="F76" s="281"/>
      <c r="G76" s="17"/>
      <c r="H76" s="43"/>
      <c r="T76" s="12"/>
      <c r="U76" s="11"/>
      <c r="V76" s="274"/>
      <c r="W76" s="276"/>
      <c r="X76" s="292"/>
    </row>
    <row r="77" spans="1:24" s="18" customFormat="1" ht="19.899999999999999" customHeight="1">
      <c r="A77" s="42"/>
      <c r="B77" s="66"/>
      <c r="C77" s="39"/>
      <c r="D77" s="17"/>
      <c r="E77" s="281"/>
      <c r="F77" s="281"/>
      <c r="G77" s="17"/>
      <c r="H77" s="43"/>
      <c r="T77" s="12"/>
      <c r="U77" s="11"/>
      <c r="V77" s="274"/>
      <c r="W77" s="276"/>
      <c r="X77" s="292"/>
    </row>
    <row r="78" spans="1:24" s="18" customFormat="1" ht="19.899999999999999" customHeight="1">
      <c r="A78" s="42"/>
      <c r="B78" s="66"/>
      <c r="C78" s="39"/>
      <c r="D78" s="17"/>
      <c r="E78" s="281"/>
      <c r="F78" s="281"/>
      <c r="G78" s="17"/>
      <c r="H78" s="43"/>
      <c r="T78" s="12"/>
      <c r="U78" s="11"/>
      <c r="V78" s="274"/>
      <c r="W78" s="276"/>
      <c r="X78" s="292"/>
    </row>
    <row r="79" spans="1:24" s="18" customFormat="1" ht="19.899999999999999" customHeight="1">
      <c r="A79" s="42"/>
      <c r="B79" s="66"/>
      <c r="C79" s="39"/>
      <c r="D79" s="17"/>
      <c r="E79" s="281"/>
      <c r="F79" s="281"/>
      <c r="G79" s="17"/>
      <c r="H79" s="43"/>
      <c r="T79" s="12"/>
      <c r="U79" s="11"/>
      <c r="V79" s="274"/>
      <c r="W79" s="276"/>
      <c r="X79" s="292"/>
    </row>
    <row r="80" spans="1:24" s="18" customFormat="1" ht="19.899999999999999" customHeight="1">
      <c r="A80" s="42"/>
      <c r="B80" s="66"/>
      <c r="C80" s="39"/>
      <c r="D80" s="17"/>
      <c r="E80" s="281"/>
      <c r="F80" s="281"/>
      <c r="G80" s="17"/>
      <c r="H80" s="43"/>
      <c r="T80" s="12"/>
      <c r="U80" s="11"/>
      <c r="V80" s="274"/>
      <c r="W80" s="276"/>
      <c r="X80" s="292"/>
    </row>
    <row r="81" spans="1:24" s="18" customFormat="1" ht="19.899999999999999" customHeight="1">
      <c r="A81" s="42"/>
      <c r="B81" s="66"/>
      <c r="C81" s="39"/>
      <c r="D81" s="17"/>
      <c r="E81" s="281"/>
      <c r="F81" s="281"/>
      <c r="G81" s="17"/>
      <c r="H81" s="43"/>
      <c r="T81" s="12"/>
      <c r="U81" s="11"/>
      <c r="V81" s="274"/>
      <c r="W81" s="276"/>
      <c r="X81" s="292"/>
    </row>
    <row r="82" spans="1:24" s="18" customFormat="1" ht="19.899999999999999" customHeight="1">
      <c r="A82" s="42"/>
      <c r="B82" s="66"/>
      <c r="C82" s="39"/>
      <c r="D82" s="17"/>
      <c r="E82" s="281"/>
      <c r="F82" s="281"/>
      <c r="G82" s="17"/>
      <c r="H82" s="43"/>
      <c r="T82" s="12"/>
      <c r="U82" s="11"/>
      <c r="V82" s="274"/>
      <c r="W82" s="276"/>
      <c r="X82" s="292"/>
    </row>
    <row r="83" spans="1:24" s="18" customFormat="1" ht="19.899999999999999" customHeight="1">
      <c r="A83" s="42"/>
      <c r="B83" s="66"/>
      <c r="C83" s="39"/>
      <c r="D83" s="17"/>
      <c r="E83" s="281"/>
      <c r="F83" s="281"/>
      <c r="G83" s="17"/>
      <c r="H83" s="43"/>
      <c r="T83" s="12"/>
      <c r="U83" s="11"/>
      <c r="V83" s="274"/>
      <c r="W83" s="276"/>
      <c r="X83" s="292"/>
    </row>
    <row r="84" spans="1:24" s="18" customFormat="1" ht="19.899999999999999" customHeight="1">
      <c r="A84" s="42"/>
      <c r="B84" s="66"/>
      <c r="C84" s="39"/>
      <c r="D84" s="17"/>
      <c r="E84" s="281"/>
      <c r="F84" s="281"/>
      <c r="G84" s="17"/>
      <c r="H84" s="43"/>
      <c r="T84" s="12"/>
      <c r="U84" s="11"/>
      <c r="V84" s="274"/>
      <c r="W84" s="276"/>
      <c r="X84" s="292"/>
    </row>
    <row r="85" spans="1:24" s="18" customFormat="1" ht="19.899999999999999" customHeight="1">
      <c r="A85" s="42"/>
      <c r="B85" s="66"/>
      <c r="C85" s="39"/>
      <c r="D85" s="17"/>
      <c r="E85" s="281"/>
      <c r="F85" s="281"/>
      <c r="G85" s="17"/>
      <c r="H85" s="43"/>
      <c r="T85" s="12"/>
      <c r="U85" s="11"/>
      <c r="V85" s="274"/>
      <c r="W85" s="276"/>
      <c r="X85" s="292"/>
    </row>
    <row r="86" spans="1:24" s="18" customFormat="1" ht="19.899999999999999" customHeight="1">
      <c r="A86" s="42"/>
      <c r="B86" s="66"/>
      <c r="C86" s="39"/>
      <c r="D86" s="17"/>
      <c r="E86" s="281"/>
      <c r="F86" s="281"/>
      <c r="G86" s="17"/>
      <c r="H86" s="43"/>
      <c r="T86" s="12"/>
      <c r="U86" s="11"/>
      <c r="V86" s="274"/>
      <c r="W86" s="276"/>
      <c r="X86" s="292"/>
    </row>
    <row r="87" spans="1:24" s="18" customFormat="1" ht="19.899999999999999" customHeight="1">
      <c r="A87" s="42"/>
      <c r="B87" s="66"/>
      <c r="C87" s="39"/>
      <c r="D87" s="17"/>
      <c r="E87" s="281"/>
      <c r="F87" s="281"/>
      <c r="G87" s="17"/>
      <c r="H87" s="43"/>
      <c r="T87" s="12"/>
      <c r="U87" s="11"/>
      <c r="V87" s="274"/>
      <c r="W87" s="276"/>
      <c r="X87" s="292"/>
    </row>
    <row r="88" spans="1:24" s="18" customFormat="1" ht="19.899999999999999" customHeight="1">
      <c r="A88" s="42"/>
      <c r="B88" s="66"/>
      <c r="C88" s="39"/>
      <c r="D88" s="17"/>
      <c r="E88" s="281"/>
      <c r="F88" s="281"/>
      <c r="G88" s="17"/>
      <c r="H88" s="43"/>
      <c r="T88" s="12"/>
      <c r="U88" s="11"/>
      <c r="V88" s="274"/>
      <c r="W88" s="276"/>
      <c r="X88" s="292"/>
    </row>
    <row r="89" spans="1:24" s="18" customFormat="1" ht="25.15" customHeight="1">
      <c r="A89" s="42"/>
      <c r="B89" s="66"/>
      <c r="C89" s="39"/>
      <c r="D89" s="17"/>
      <c r="E89" s="281"/>
      <c r="F89" s="281"/>
      <c r="G89" s="17"/>
      <c r="H89" s="43"/>
      <c r="T89" s="12"/>
      <c r="U89" s="11"/>
      <c r="V89" s="274"/>
      <c r="W89" s="276"/>
      <c r="X89" s="292"/>
    </row>
    <row r="90" spans="1:24" s="18" customFormat="1" ht="25.15" customHeight="1">
      <c r="A90" s="42"/>
      <c r="B90" s="66"/>
      <c r="C90" s="39"/>
      <c r="D90" s="17"/>
      <c r="E90" s="281"/>
      <c r="F90" s="281"/>
      <c r="G90" s="17"/>
      <c r="H90" s="43"/>
      <c r="T90" s="12"/>
      <c r="U90" s="11"/>
      <c r="V90" s="274"/>
      <c r="W90" s="276"/>
      <c r="X90" s="292"/>
    </row>
    <row r="91" spans="1:24" s="18" customFormat="1" ht="25.15" customHeight="1">
      <c r="A91" s="42"/>
      <c r="B91" s="66"/>
      <c r="C91" s="39"/>
      <c r="D91" s="17"/>
      <c r="E91" s="281"/>
      <c r="F91" s="281"/>
      <c r="G91" s="17"/>
      <c r="H91" s="46"/>
      <c r="T91" s="12"/>
      <c r="U91" s="11"/>
      <c r="V91" s="274"/>
      <c r="W91" s="276"/>
      <c r="X91" s="292"/>
    </row>
    <row r="92" spans="1:24" s="18" customFormat="1" ht="25.15" customHeight="1">
      <c r="A92" s="42"/>
      <c r="B92" s="66"/>
      <c r="C92" s="39"/>
      <c r="D92" s="17"/>
      <c r="E92" s="281"/>
      <c r="F92" s="281"/>
      <c r="G92" s="17"/>
      <c r="H92" s="46"/>
      <c r="T92" s="12"/>
      <c r="U92" s="11"/>
      <c r="V92" s="274"/>
      <c r="W92" s="276"/>
      <c r="X92" s="292"/>
    </row>
    <row r="93" spans="1:24" s="18" customFormat="1" ht="25.15" customHeight="1">
      <c r="A93" s="42"/>
      <c r="B93" s="66"/>
      <c r="C93" s="39"/>
      <c r="D93" s="17"/>
      <c r="E93" s="281"/>
      <c r="F93" s="281"/>
      <c r="G93" s="17"/>
      <c r="H93" s="46"/>
      <c r="T93" s="12"/>
      <c r="U93" s="11"/>
      <c r="V93" s="274"/>
      <c r="W93" s="276"/>
      <c r="X93" s="292"/>
    </row>
    <row r="94" spans="1:24" s="18" customFormat="1" ht="25.15" customHeight="1">
      <c r="A94" s="42"/>
      <c r="B94" s="66"/>
      <c r="C94" s="39"/>
      <c r="D94" s="17"/>
      <c r="E94" s="281"/>
      <c r="F94" s="286"/>
      <c r="G94" s="285"/>
      <c r="H94" s="22"/>
      <c r="T94" s="12"/>
      <c r="U94" s="11"/>
      <c r="V94" s="274"/>
      <c r="W94" s="276"/>
      <c r="X94" s="292"/>
    </row>
    <row r="95" spans="1:24" s="18" customFormat="1" ht="25.15" customHeight="1">
      <c r="A95" s="42"/>
      <c r="B95" s="66"/>
      <c r="C95" s="39"/>
      <c r="D95" s="17"/>
      <c r="E95" s="281"/>
      <c r="F95" s="287"/>
      <c r="G95" s="3"/>
      <c r="H95" s="22"/>
      <c r="T95" s="12"/>
      <c r="U95" s="11"/>
      <c r="V95" s="274"/>
      <c r="W95" s="276"/>
      <c r="X95" s="292"/>
    </row>
    <row r="96" spans="1:24" s="18" customFormat="1" ht="25.15" customHeight="1">
      <c r="A96" s="42"/>
      <c r="B96" s="66"/>
      <c r="C96" s="39"/>
      <c r="D96" s="285"/>
      <c r="E96" s="286"/>
      <c r="F96" s="11"/>
      <c r="G96" s="3"/>
      <c r="H96" s="22"/>
      <c r="T96" s="12"/>
      <c r="U96" s="11"/>
      <c r="V96" s="274"/>
      <c r="W96" s="276"/>
      <c r="X96" s="292"/>
    </row>
    <row r="97" spans="1:24" s="18" customFormat="1" ht="25.15" customHeight="1">
      <c r="B97" s="66"/>
      <c r="C97" s="39"/>
      <c r="D97" s="3"/>
      <c r="E97" s="287"/>
      <c r="F97" s="11"/>
      <c r="G97" s="3"/>
      <c r="H97" s="22"/>
      <c r="T97" s="12"/>
      <c r="U97" s="11"/>
      <c r="V97" s="274"/>
      <c r="W97" s="276"/>
      <c r="X97" s="292"/>
    </row>
    <row r="98" spans="1:24" s="18" customFormat="1" ht="25.15" customHeight="1">
      <c r="A98" s="30"/>
      <c r="B98" s="66"/>
      <c r="C98" s="39"/>
      <c r="D98" s="288"/>
      <c r="E98" s="11"/>
      <c r="F98" s="11"/>
      <c r="G98" s="3"/>
      <c r="H98" s="22"/>
      <c r="T98" s="12"/>
      <c r="U98" s="11"/>
      <c r="V98" s="274"/>
      <c r="W98" s="276"/>
      <c r="X98" s="292"/>
    </row>
    <row r="99" spans="1:24" s="18" customFormat="1" ht="25.15" customHeight="1">
      <c r="A99" s="13"/>
      <c r="B99" s="66"/>
      <c r="C99" s="39"/>
      <c r="D99" s="36"/>
      <c r="E99" s="11"/>
      <c r="F99" s="11"/>
      <c r="G99" s="3"/>
      <c r="H99" s="22"/>
      <c r="T99" s="12"/>
      <c r="U99" s="11"/>
      <c r="V99" s="274"/>
      <c r="W99" s="276"/>
      <c r="X99" s="292"/>
    </row>
    <row r="100" spans="1:24" s="18" customFormat="1" ht="25.15" customHeight="1">
      <c r="A100" s="11"/>
      <c r="B100" s="66"/>
      <c r="C100" s="39"/>
      <c r="D100" s="36"/>
      <c r="E100" s="11"/>
      <c r="F100" s="11"/>
      <c r="G100" s="3"/>
      <c r="H100" s="22"/>
      <c r="T100" s="12"/>
      <c r="U100" s="11"/>
      <c r="V100" s="274"/>
    </row>
    <row r="101" spans="1:24" s="18" customFormat="1" ht="25.15" customHeight="1">
      <c r="A101" s="11"/>
      <c r="B101" s="66"/>
      <c r="C101" s="39"/>
      <c r="D101" s="36"/>
      <c r="E101" s="11"/>
      <c r="F101" s="11"/>
      <c r="G101" s="3"/>
      <c r="H101" s="22"/>
      <c r="T101" s="12"/>
      <c r="U101" s="11"/>
      <c r="V101" s="274"/>
    </row>
    <row r="102" spans="1:24" s="18" customFormat="1" ht="25.15" customHeight="1">
      <c r="A102" s="11"/>
      <c r="B102" s="68"/>
      <c r="C102" s="11"/>
      <c r="D102" s="12"/>
      <c r="E102" s="11"/>
      <c r="F102" s="11"/>
      <c r="G102" s="3"/>
      <c r="H102" s="22"/>
      <c r="T102" s="12"/>
      <c r="U102" s="11"/>
      <c r="V102" s="274"/>
    </row>
    <row r="103" spans="1:24" s="18" customFormat="1" ht="25.15" customHeight="1">
      <c r="A103" s="11"/>
      <c r="B103" s="68"/>
      <c r="C103" s="11"/>
      <c r="D103" s="12"/>
      <c r="E103" s="11"/>
      <c r="F103" s="11"/>
      <c r="G103" s="3"/>
      <c r="H103" s="22"/>
      <c r="T103" s="12"/>
      <c r="U103" s="11"/>
      <c r="V103" s="274"/>
    </row>
    <row r="104" spans="1:24" s="18" customFormat="1" ht="25.15" customHeight="1">
      <c r="A104" s="11"/>
      <c r="B104" s="68"/>
      <c r="C104" s="11"/>
      <c r="D104" s="12"/>
      <c r="E104" s="11"/>
      <c r="F104" s="11"/>
      <c r="G104" s="3"/>
      <c r="H104" s="22"/>
      <c r="T104" s="12"/>
      <c r="U104" s="11"/>
      <c r="V104" s="274"/>
    </row>
    <row r="105" spans="1:24" s="18" customFormat="1" ht="25.15" customHeight="1">
      <c r="A105" s="11"/>
      <c r="B105" s="68"/>
      <c r="C105" s="11"/>
      <c r="D105" s="12"/>
      <c r="E105" s="11"/>
      <c r="F105" s="11"/>
      <c r="G105" s="3"/>
      <c r="H105" s="22"/>
      <c r="T105" s="12"/>
      <c r="U105" s="11"/>
      <c r="V105" s="274"/>
    </row>
    <row r="106" spans="1:24" s="18" customFormat="1" ht="25.15" customHeight="1">
      <c r="A106" s="11"/>
      <c r="B106" s="68"/>
      <c r="C106" s="11"/>
      <c r="D106" s="12"/>
      <c r="E106" s="11"/>
      <c r="F106" s="11"/>
      <c r="G106" s="3"/>
      <c r="H106" s="22"/>
      <c r="T106" s="12"/>
      <c r="U106" s="11"/>
      <c r="V106" s="274"/>
    </row>
    <row r="107" spans="1:24" s="18" customFormat="1" ht="25.15" customHeight="1">
      <c r="A107" s="11"/>
      <c r="B107" s="68"/>
      <c r="C107" s="11"/>
      <c r="D107" s="12"/>
      <c r="E107" s="11"/>
      <c r="F107" s="11"/>
      <c r="G107" s="3"/>
      <c r="H107" s="22"/>
      <c r="T107" s="12"/>
      <c r="U107" s="11"/>
      <c r="V107" s="274"/>
    </row>
    <row r="108" spans="1:24" ht="15.75">
      <c r="A108" s="11"/>
      <c r="B108" s="68"/>
      <c r="C108" s="11"/>
      <c r="D108" s="12"/>
      <c r="E108" s="11"/>
      <c r="F108" s="11"/>
      <c r="H108" s="20"/>
    </row>
    <row r="109" spans="1:24" ht="15.75">
      <c r="A109" s="11"/>
      <c r="B109" s="68"/>
      <c r="C109" s="11"/>
      <c r="D109" s="12"/>
      <c r="E109" s="11"/>
      <c r="F109" s="11"/>
      <c r="H109" s="20"/>
    </row>
    <row r="110" spans="1:24" ht="15.75">
      <c r="A110" s="11"/>
      <c r="B110" s="68"/>
      <c r="C110" s="11"/>
      <c r="D110" s="12"/>
      <c r="E110" s="11"/>
      <c r="F110" s="11"/>
      <c r="H110" s="20"/>
    </row>
    <row r="111" spans="1:24" ht="15.75">
      <c r="A111" s="11"/>
      <c r="B111" s="68"/>
      <c r="C111" s="11"/>
      <c r="D111" s="12"/>
      <c r="E111" s="11"/>
      <c r="F111" s="11"/>
    </row>
    <row r="112" spans="1:24" ht="15.75">
      <c r="A112" s="11"/>
      <c r="B112" s="68"/>
      <c r="C112" s="11"/>
      <c r="D112" s="12"/>
      <c r="E112" s="11"/>
      <c r="F112" s="11"/>
    </row>
    <row r="113" spans="1:5" ht="15.75">
      <c r="A113" s="11"/>
      <c r="B113" s="68"/>
      <c r="C113" s="11"/>
      <c r="D113" s="12"/>
      <c r="E113" s="11"/>
    </row>
    <row r="114" spans="1:5" ht="15.75">
      <c r="A114" s="11"/>
      <c r="B114" s="68"/>
      <c r="C114" s="11"/>
      <c r="D114" s="12"/>
      <c r="E114" s="11"/>
    </row>
  </sheetData>
  <dataConsolidate/>
  <mergeCells count="16">
    <mergeCell ref="F25:G25"/>
    <mergeCell ref="F26:G26"/>
    <mergeCell ref="F38:G38"/>
    <mergeCell ref="A44:C44"/>
    <mergeCell ref="B50:C50"/>
    <mergeCell ref="D8:E8"/>
    <mergeCell ref="A9:B9"/>
    <mergeCell ref="A11:B11"/>
    <mergeCell ref="F24:G24"/>
    <mergeCell ref="A1:H1"/>
    <mergeCell ref="A2:H2"/>
    <mergeCell ref="A3:H3"/>
    <mergeCell ref="A4:H4"/>
    <mergeCell ref="A5:H5"/>
    <mergeCell ref="A7:B7"/>
    <mergeCell ref="D7:E7"/>
  </mergeCells>
  <dataValidations count="5">
    <dataValidation type="list" allowBlank="1" showInputMessage="1" showErrorMessage="1" sqref="B15:B23" xr:uid="{179262FE-EA78-456A-A5BF-C326A851D833}">
      <formula1>$W$3:$W$99</formula1>
    </dataValidation>
    <dataValidation type="list" allowBlank="1" showInputMessage="1" showErrorMessage="1" sqref="D15:D23" xr:uid="{E5EC7602-CE6F-40C1-AB1F-B0F017E9612A}">
      <formula1>"Box,Fl"</formula1>
    </dataValidation>
    <dataValidation type="list" allowBlank="1" showInputMessage="1" showErrorMessage="1" sqref="B10" xr:uid="{14D71FD6-5156-4B78-AF72-A03EB80ADC82}">
      <formula1>$T$3:$T$21</formula1>
    </dataValidation>
    <dataValidation type="list" allowBlank="1" showInputMessage="1" showErrorMessage="1" sqref="B12" xr:uid="{C06EB089-F682-43EB-9405-7BB0AE6196F6}">
      <formula1>$U$3:$U$21</formula1>
    </dataValidation>
    <dataValidation type="list" allowBlank="1" showInputMessage="1" showErrorMessage="1" sqref="B8" xr:uid="{3CDC9AC6-C72D-4E1D-8F6E-003F88F85762}">
      <formula1>$S$3:$S$43</formula1>
    </dataValidation>
  </dataValidations>
  <printOptions horizontalCentered="1"/>
  <pageMargins left="0.59055118110236227" right="0.59055118110236227" top="0.51181102362204722" bottom="0.51181102362204722" header="0" footer="0"/>
  <pageSetup paperSize="9" scale="50" fitToHeight="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C167BD-083F-484F-BBDC-2E3BF9466B94}">
          <x14:formula1>
            <xm:f>$G$94:$G$111</xm:f>
          </x14:formula1>
          <xm:sqref>WVM983072:WVM983073 JA196657:JA196658 JA262193:JA262194 JA327729:JA327730 JA393265:JA393266 JA458801:JA458802 JA524337:JA524338 JA589873:JA589874 JA655409:JA655410 JA720945:JA720946 JA786481:JA786482 JA852017:JA852018 JA917553:JA917554 JA983089:JA983090 SW65585:SW65586 SW131121:SW131122 SW196657:SW196658 SW262193:SW262194 SW327729:SW327730 SW393265:SW393266 SW458801:SW458802 SW524337:SW524338 SW589873:SW589874 SW655409:SW655410 SW720945:SW720946 SW786481:SW786482 SW852017:SW852018 SW917553:SW917554 SW983089:SW983090 ACS65585:ACS65586 ACS131121:ACS131122 ACS196657:ACS196658 ACS262193:ACS262194 ACS327729:ACS327730 ACS393265:ACS393266 ACS458801:ACS458802 ACS524337:ACS524338 ACS589873:ACS589874 ACS655409:ACS655410 ACS720945:ACS720946 ACS786481:ACS786482 ACS852017:ACS852018 ACS917553:ACS917554 ACS983089:ACS983090 AMO65585:AMO65586 AMO131121:AMO131122 AMO196657:AMO196658 AMO262193:AMO262194 AMO327729:AMO327730 AMO393265:AMO393266 AMO458801:AMO458802 AMO524337:AMO524338 AMO589873:AMO589874 AMO655409:AMO655410 AMO720945:AMO720946 AMO786481:AMO786482 AMO852017:AMO852018 AMO917553:AMO917554 AMO983089:AMO983090 AWK65585:AWK65586 AWK131121:AWK131122 AWK196657:AWK196658 AWK262193:AWK262194 AWK327729:AWK327730 AWK393265:AWK393266 AWK458801:AWK458802 AWK524337:AWK524338 AWK589873:AWK589874 AWK655409:AWK655410 AWK720945:AWK720946 AWK786481:AWK786482 AWK852017:AWK852018 AWK917553:AWK917554 AWK983089:AWK983090 BGG65585:BGG65586 BGG131121:BGG131122 BGG196657:BGG196658 BGG262193:BGG262194 BGG327729:BGG327730 BGG393265:BGG393266 BGG458801:BGG458802 BGG524337:BGG524338 BGG589873:BGG589874 BGG655409:BGG655410 BGG720945:BGG720946 BGG786481:BGG786482 BGG852017:BGG852018 BGG917553:BGG917554 BGG983089:BGG983090 BQC65585:BQC65586 BQC131121:BQC131122 BQC196657:BQC196658 BQC262193:BQC262194 BQC327729:BQC327730 BQC393265:BQC393266 BQC458801:BQC458802 BQC524337:BQC524338 BQC589873:BQC589874 BQC655409:BQC655410 BQC720945:BQC720946 BQC786481:BQC786482 BQC852017:BQC852018 BQC917553:BQC917554 BQC983089:BQC983090 BZY65585:BZY65586 BZY131121:BZY131122 BZY196657:BZY196658 BZY262193:BZY262194 BZY327729:BZY327730 BZY393265:BZY393266 BZY458801:BZY458802 BZY524337:BZY524338 BZY589873:BZY589874 BZY655409:BZY655410 BZY720945:BZY720946 BZY786481:BZY786482 BZY852017:BZY852018 BZY917553:BZY917554 BZY983089:BZY983090 CJU65585:CJU65586 CJU131121:CJU131122 CJU196657:CJU196658 CJU262193:CJU262194 CJU327729:CJU327730 CJU393265:CJU393266 CJU458801:CJU458802 CJU524337:CJU524338 CJU589873:CJU589874 CJU655409:CJU655410 CJU720945:CJU720946 CJU786481:CJU786482 CJU852017:CJU852018 CJU917553:CJU917554 CJU983089:CJU983090 CTQ65585:CTQ65586 CTQ131121:CTQ131122 CTQ196657:CTQ196658 CTQ262193:CTQ262194 CTQ327729:CTQ327730 CTQ393265:CTQ393266 CTQ458801:CTQ458802 CTQ524337:CTQ524338 CTQ589873:CTQ589874 CTQ655409:CTQ655410 CTQ720945:CTQ720946 CTQ786481:CTQ786482 CTQ852017:CTQ852018 CTQ917553:CTQ917554 CTQ983089:CTQ983090 DDM65585:DDM65586 DDM131121:DDM131122 DDM196657:DDM196658 DDM262193:DDM262194 DDM327729:DDM327730 DDM393265:DDM393266 DDM458801:DDM458802 DDM524337:DDM524338 DDM589873:DDM589874 DDM655409:DDM655410 DDM720945:DDM720946 DDM786481:DDM786482 DDM852017:DDM852018 DDM917553:DDM917554 DDM983089:DDM983090 DNI65585:DNI65586 DNI131121:DNI131122 DNI196657:DNI196658 DNI262193:DNI262194 DNI327729:DNI327730 DNI393265:DNI393266 DNI458801:DNI458802 DNI524337:DNI524338 DNI589873:DNI589874 DNI655409:DNI655410 DNI720945:DNI720946 DNI786481:DNI786482 DNI852017:DNI852018 DNI917553:DNI917554 DNI983089:DNI983090 DXE65585:DXE65586 DXE131121:DXE131122 DXE196657:DXE196658 DXE262193:DXE262194 DXE327729:DXE327730 DXE393265:DXE393266 DXE458801:DXE458802 DXE524337:DXE524338 DXE589873:DXE589874 DXE655409:DXE655410 DXE720945:DXE720946 DXE786481:DXE786482 DXE852017:DXE852018 DXE917553:DXE917554 DXE983089:DXE983090 EHA65585:EHA65586 EHA131121:EHA131122 EHA196657:EHA196658 EHA262193:EHA262194 EHA327729:EHA327730 EHA393265:EHA393266 EHA458801:EHA458802 EHA524337:EHA524338 EHA589873:EHA589874 EHA655409:EHA655410 EHA720945:EHA720946 EHA786481:EHA786482 EHA852017:EHA852018 EHA917553:EHA917554 EHA983089:EHA983090 EQW65585:EQW65586 EQW131121:EQW131122 EQW196657:EQW196658 EQW262193:EQW262194 EQW327729:EQW327730 EQW393265:EQW393266 EQW458801:EQW458802 EQW524337:EQW524338 EQW589873:EQW589874 EQW655409:EQW655410 EQW720945:EQW720946 EQW786481:EQW786482 EQW852017:EQW852018 EQW917553:EQW917554 EQW983089:EQW983090 FAS65585:FAS65586 FAS131121:FAS131122 FAS196657:FAS196658 FAS262193:FAS262194 FAS327729:FAS327730 FAS393265:FAS393266 FAS458801:FAS458802 FAS524337:FAS524338 FAS589873:FAS589874 FAS655409:FAS655410 FAS720945:FAS720946 FAS786481:FAS786482 FAS852017:FAS852018 FAS917553:FAS917554 FAS983089:FAS983090 FKO65585:FKO65586 FKO131121:FKO131122 FKO196657:FKO196658 FKO262193:FKO262194 FKO327729:FKO327730 FKO393265:FKO393266 FKO458801:FKO458802 FKO524337:FKO524338 FKO589873:FKO589874 FKO655409:FKO655410 FKO720945:FKO720946 FKO786481:FKO786482 FKO852017:FKO852018 FKO917553:FKO917554 FKO983089:FKO983090 FUK65585:FUK65586 FUK131121:FUK131122 FUK196657:FUK196658 FUK262193:FUK262194 FUK327729:FUK327730 FUK393265:FUK393266 FUK458801:FUK458802 FUK524337:FUK524338 FUK589873:FUK589874 FUK655409:FUK655410 FUK720945:FUK720946 FUK786481:FUK786482 FUK852017:FUK852018 FUK917553:FUK917554 FUK983089:FUK983090 GEG65585:GEG65586 GEG131121:GEG131122 GEG196657:GEG196658 GEG262193:GEG262194 GEG327729:GEG327730 GEG393265:GEG393266 GEG458801:GEG458802 GEG524337:GEG524338 GEG589873:GEG589874 GEG655409:GEG655410 GEG720945:GEG720946 GEG786481:GEG786482 GEG852017:GEG852018 GEG917553:GEG917554 GEG983089:GEG983090 GOC65585:GOC65586 GOC131121:GOC131122 GOC196657:GOC196658 GOC262193:GOC262194 GOC327729:GOC327730 GOC393265:GOC393266 GOC458801:GOC458802 GOC524337:GOC524338 GOC589873:GOC589874 GOC655409:GOC655410 GOC720945:GOC720946 GOC786481:GOC786482 GOC852017:GOC852018 GOC917553:GOC917554 GOC983089:GOC983090 GXY65585:GXY65586 GXY131121:GXY131122 GXY196657:GXY196658 GXY262193:GXY262194 GXY327729:GXY327730 GXY393265:GXY393266 GXY458801:GXY458802 GXY524337:GXY524338 GXY589873:GXY589874 GXY655409:GXY655410 GXY720945:GXY720946 GXY786481:GXY786482 GXY852017:GXY852018 GXY917553:GXY917554 GXY983089:GXY983090 HHU65585:HHU65586 HHU131121:HHU131122 HHU196657:HHU196658 HHU262193:HHU262194 HHU327729:HHU327730 HHU393265:HHU393266 HHU458801:HHU458802 HHU524337:HHU524338 HHU589873:HHU589874 HHU655409:HHU655410 HHU720945:HHU720946 HHU786481:HHU786482 HHU852017:HHU852018 HHU917553:HHU917554 HHU983089:HHU983090 HRQ65585:HRQ65586 HRQ131121:HRQ131122 HRQ196657:HRQ196658 HRQ262193:HRQ262194 HRQ327729:HRQ327730 HRQ393265:HRQ393266 HRQ458801:HRQ458802 HRQ524337:HRQ524338 HRQ589873:HRQ589874 HRQ655409:HRQ655410 HRQ720945:HRQ720946 HRQ786481:HRQ786482 HRQ852017:HRQ852018 HRQ917553:HRQ917554 HRQ983089:HRQ983090 IBM65585:IBM65586 IBM131121:IBM131122 IBM196657:IBM196658 IBM262193:IBM262194 IBM327729:IBM327730 IBM393265:IBM393266 IBM458801:IBM458802 IBM524337:IBM524338 IBM589873:IBM589874 IBM655409:IBM655410 IBM720945:IBM720946 IBM786481:IBM786482 IBM852017:IBM852018 IBM917553:IBM917554 IBM983089:IBM983090 ILI65585:ILI65586 ILI131121:ILI131122 ILI196657:ILI196658 ILI262193:ILI262194 ILI327729:ILI327730 ILI393265:ILI393266 ILI458801:ILI458802 ILI524337:ILI524338 ILI589873:ILI589874 ILI655409:ILI655410 ILI720945:ILI720946 ILI786481:ILI786482 ILI852017:ILI852018 ILI917553:ILI917554 ILI983089:ILI983090 IVE65585:IVE65586 IVE131121:IVE131122 IVE196657:IVE196658 IVE262193:IVE262194 IVE327729:IVE327730 IVE393265:IVE393266 IVE458801:IVE458802 IVE524337:IVE524338 IVE589873:IVE589874 IVE655409:IVE655410 IVE720945:IVE720946 IVE786481:IVE786482 IVE852017:IVE852018 IVE917553:IVE917554 IVE983089:IVE983090 JFA65585:JFA65586 JFA131121:JFA131122 JFA196657:JFA196658 JFA262193:JFA262194 JFA327729:JFA327730 JFA393265:JFA393266 JFA458801:JFA458802 JFA524337:JFA524338 JFA589873:JFA589874 JFA655409:JFA655410 JFA720945:JFA720946 JFA786481:JFA786482 JFA852017:JFA852018 JFA917553:JFA917554 JFA983089:JFA983090 JOW65585:JOW65586 JOW131121:JOW131122 JOW196657:JOW196658 JOW262193:JOW262194 JOW327729:JOW327730 JOW393265:JOW393266 JOW458801:JOW458802 JOW524337:JOW524338 JOW589873:JOW589874 JOW655409:JOW655410 JOW720945:JOW720946 JOW786481:JOW786482 JOW852017:JOW852018 JOW917553:JOW917554 JOW983089:JOW983090 JYS65585:JYS65586 JYS131121:JYS131122 JYS196657:JYS196658 JYS262193:JYS262194 JYS327729:JYS327730 JYS393265:JYS393266 JYS458801:JYS458802 JYS524337:JYS524338 JYS589873:JYS589874 JYS655409:JYS655410 JYS720945:JYS720946 JYS786481:JYS786482 JYS852017:JYS852018 JYS917553:JYS917554 JYS983089:JYS983090 KIO65585:KIO65586 KIO131121:KIO131122 KIO196657:KIO196658 KIO262193:KIO262194 KIO327729:KIO327730 KIO393265:KIO393266 KIO458801:KIO458802 KIO524337:KIO524338 KIO589873:KIO589874 KIO655409:KIO655410 KIO720945:KIO720946 KIO786481:KIO786482 KIO852017:KIO852018 KIO917553:KIO917554 KIO983089:KIO983090 KSK65585:KSK65586 KSK131121:KSK131122 KSK196657:KSK196658 KSK262193:KSK262194 KSK327729:KSK327730 KSK393265:KSK393266 KSK458801:KSK458802 KSK524337:KSK524338 KSK589873:KSK589874 KSK655409:KSK655410 KSK720945:KSK720946 KSK786481:KSK786482 KSK852017:KSK852018 KSK917553:KSK917554 KSK983089:KSK983090 LCG65585:LCG65586 LCG131121:LCG131122 LCG196657:LCG196658 LCG262193:LCG262194 LCG327729:LCG327730 LCG393265:LCG393266 LCG458801:LCG458802 LCG524337:LCG524338 LCG589873:LCG589874 LCG655409:LCG655410 LCG720945:LCG720946 LCG786481:LCG786482 LCG852017:LCG852018 LCG917553:LCG917554 LCG983089:LCG983090 LMC65585:LMC65586 LMC131121:LMC131122 LMC196657:LMC196658 LMC262193:LMC262194 LMC327729:LMC327730 LMC393265:LMC393266 LMC458801:LMC458802 LMC524337:LMC524338 LMC589873:LMC589874 LMC655409:LMC655410 LMC720945:LMC720946 LMC786481:LMC786482 LMC852017:LMC852018 LMC917553:LMC917554 LMC983089:LMC983090 LVY65585:LVY65586 LVY131121:LVY131122 LVY196657:LVY196658 LVY262193:LVY262194 LVY327729:LVY327730 LVY393265:LVY393266 LVY458801:LVY458802 LVY524337:LVY524338 LVY589873:LVY589874 LVY655409:LVY655410 LVY720945:LVY720946 LVY786481:LVY786482 LVY852017:LVY852018 LVY917553:LVY917554 LVY983089:LVY983090 MFU65585:MFU65586 MFU131121:MFU131122 MFU196657:MFU196658 MFU262193:MFU262194 MFU327729:MFU327730 MFU393265:MFU393266 MFU458801:MFU458802 MFU524337:MFU524338 MFU589873:MFU589874 MFU655409:MFU655410 MFU720945:MFU720946 MFU786481:MFU786482 MFU852017:MFU852018 MFU917553:MFU917554 MFU983089:MFU983090 MPQ65585:MPQ65586 MPQ131121:MPQ131122 MPQ196657:MPQ196658 MPQ262193:MPQ262194 MPQ327729:MPQ327730 MPQ393265:MPQ393266 MPQ458801:MPQ458802 MPQ524337:MPQ524338 MPQ589873:MPQ589874 MPQ655409:MPQ655410 MPQ720945:MPQ720946 MPQ786481:MPQ786482 MPQ852017:MPQ852018 MPQ917553:MPQ917554 MPQ983089:MPQ983090 MZM65585:MZM65586 MZM131121:MZM131122 MZM196657:MZM196658 MZM262193:MZM262194 MZM327729:MZM327730 MZM393265:MZM393266 MZM458801:MZM458802 MZM524337:MZM524338 MZM589873:MZM589874 MZM655409:MZM655410 MZM720945:MZM720946 MZM786481:MZM786482 MZM852017:MZM852018 MZM917553:MZM917554 MZM983089:MZM983090 NJI65585:NJI65586 NJI131121:NJI131122 NJI196657:NJI196658 NJI262193:NJI262194 NJI327729:NJI327730 NJI393265:NJI393266 NJI458801:NJI458802 NJI524337:NJI524338 NJI589873:NJI589874 NJI655409:NJI655410 NJI720945:NJI720946 NJI786481:NJI786482 NJI852017:NJI852018 NJI917553:NJI917554 NJI983089:NJI983090 NTE65585:NTE65586 NTE131121:NTE131122 NTE196657:NTE196658 NTE262193:NTE262194 NTE327729:NTE327730 NTE393265:NTE393266 NTE458801:NTE458802 NTE524337:NTE524338 NTE589873:NTE589874 NTE655409:NTE655410 NTE720945:NTE720946 NTE786481:NTE786482 NTE852017:NTE852018 NTE917553:NTE917554 NTE983089:NTE983090 ODA65585:ODA65586 ODA131121:ODA131122 ODA196657:ODA196658 ODA262193:ODA262194 ODA327729:ODA327730 ODA393265:ODA393266 ODA458801:ODA458802 ODA524337:ODA524338 ODA589873:ODA589874 ODA655409:ODA655410 ODA720945:ODA720946 ODA786481:ODA786482 ODA852017:ODA852018 ODA917553:ODA917554 ODA983089:ODA983090 OMW65585:OMW65586 OMW131121:OMW131122 OMW196657:OMW196658 OMW262193:OMW262194 OMW327729:OMW327730 OMW393265:OMW393266 OMW458801:OMW458802 OMW524337:OMW524338 OMW589873:OMW589874 OMW655409:OMW655410 OMW720945:OMW720946 OMW786481:OMW786482 OMW852017:OMW852018 OMW917553:OMW917554 OMW983089:OMW983090 OWS65585:OWS65586 OWS131121:OWS131122 OWS196657:OWS196658 OWS262193:OWS262194 OWS327729:OWS327730 OWS393265:OWS393266 OWS458801:OWS458802 OWS524337:OWS524338 OWS589873:OWS589874 OWS655409:OWS655410 OWS720945:OWS720946 OWS786481:OWS786482 OWS852017:OWS852018 OWS917553:OWS917554 OWS983089:OWS983090 PGO65585:PGO65586 PGO131121:PGO131122 PGO196657:PGO196658 PGO262193:PGO262194 PGO327729:PGO327730 PGO393265:PGO393266 PGO458801:PGO458802 PGO524337:PGO524338 PGO589873:PGO589874 PGO655409:PGO655410 PGO720945:PGO720946 PGO786481:PGO786482 PGO852017:PGO852018 PGO917553:PGO917554 PGO983089:PGO983090 PQK65585:PQK65586 PQK131121:PQK131122 PQK196657:PQK196658 PQK262193:PQK262194 PQK327729:PQK327730 PQK393265:PQK393266 PQK458801:PQK458802 PQK524337:PQK524338 PQK589873:PQK589874 PQK655409:PQK655410 PQK720945:PQK720946 PQK786481:PQK786482 PQK852017:PQK852018 PQK917553:PQK917554 PQK983089:PQK983090 QAG65585:QAG65586 QAG131121:QAG131122 QAG196657:QAG196658 QAG262193:QAG262194 QAG327729:QAG327730 QAG393265:QAG393266 QAG458801:QAG458802 QAG524337:QAG524338 QAG589873:QAG589874 QAG655409:QAG655410 QAG720945:QAG720946 QAG786481:QAG786482 QAG852017:QAG852018 QAG917553:QAG917554 QAG983089:QAG983090 QKC65585:QKC65586 QKC131121:QKC131122 QKC196657:QKC196658 QKC262193:QKC262194 QKC327729:QKC327730 QKC393265:QKC393266 QKC458801:QKC458802 QKC524337:QKC524338 QKC589873:QKC589874 QKC655409:QKC655410 QKC720945:QKC720946 QKC786481:QKC786482 QKC852017:QKC852018 QKC917553:QKC917554 QKC983089:QKC983090 QTY65585:QTY65586 QTY131121:QTY131122 QTY196657:QTY196658 QTY262193:QTY262194 QTY327729:QTY327730 QTY393265:QTY393266 QTY458801:QTY458802 QTY524337:QTY524338 QTY589873:QTY589874 QTY655409:QTY655410 QTY720945:QTY720946 QTY786481:QTY786482 QTY852017:QTY852018 QTY917553:QTY917554 QTY983089:QTY983090 RDU65585:RDU65586 RDU131121:RDU131122 RDU196657:RDU196658 RDU262193:RDU262194 RDU327729:RDU327730 RDU393265:RDU393266 RDU458801:RDU458802 RDU524337:RDU524338 RDU589873:RDU589874 RDU655409:RDU655410 RDU720945:RDU720946 RDU786481:RDU786482 RDU852017:RDU852018 RDU917553:RDU917554 RDU983089:RDU983090 RNQ65585:RNQ65586 RNQ131121:RNQ131122 RNQ196657:RNQ196658 RNQ262193:RNQ262194 RNQ327729:RNQ327730 RNQ393265:RNQ393266 RNQ458801:RNQ458802 RNQ524337:RNQ524338 RNQ589873:RNQ589874 RNQ655409:RNQ655410 RNQ720945:RNQ720946 RNQ786481:RNQ786482 RNQ852017:RNQ852018 RNQ917553:RNQ917554 RNQ983089:RNQ983090 RXM65585:RXM65586 RXM131121:RXM131122 RXM196657:RXM196658 RXM262193:RXM262194 RXM327729:RXM327730 RXM393265:RXM393266 RXM458801:RXM458802 RXM524337:RXM524338 RXM589873:RXM589874 RXM655409:RXM655410 RXM720945:RXM720946 RXM786481:RXM786482 RXM852017:RXM852018 RXM917553:RXM917554 RXM983089:RXM983090 SHI65585:SHI65586 SHI131121:SHI131122 SHI196657:SHI196658 SHI262193:SHI262194 SHI327729:SHI327730 SHI393265:SHI393266 SHI458801:SHI458802 SHI524337:SHI524338 SHI589873:SHI589874 SHI655409:SHI655410 SHI720945:SHI720946 SHI786481:SHI786482 SHI852017:SHI852018 SHI917553:SHI917554 SHI983089:SHI983090 SRE65585:SRE65586 SRE131121:SRE131122 SRE196657:SRE196658 SRE262193:SRE262194 SRE327729:SRE327730 SRE393265:SRE393266 SRE458801:SRE458802 SRE524337:SRE524338 SRE589873:SRE589874 SRE655409:SRE655410 SRE720945:SRE720946 SRE786481:SRE786482 SRE852017:SRE852018 SRE917553:SRE917554 SRE983089:SRE983090 TBA65585:TBA65586 TBA131121:TBA131122 TBA196657:TBA196658 TBA262193:TBA262194 TBA327729:TBA327730 TBA393265:TBA393266 TBA458801:TBA458802 TBA524337:TBA524338 TBA589873:TBA589874 TBA655409:TBA655410 TBA720945:TBA720946 TBA786481:TBA786482 TBA852017:TBA852018 TBA917553:TBA917554 TBA983089:TBA983090 TKW65585:TKW65586 TKW131121:TKW131122 TKW196657:TKW196658 TKW262193:TKW262194 TKW327729:TKW327730 TKW393265:TKW393266 TKW458801:TKW458802 TKW524337:TKW524338 TKW589873:TKW589874 TKW655409:TKW655410 TKW720945:TKW720946 TKW786481:TKW786482 TKW852017:TKW852018 TKW917553:TKW917554 TKW983089:TKW983090 TUS65585:TUS65586 TUS131121:TUS131122 TUS196657:TUS196658 TUS262193:TUS262194 TUS327729:TUS327730 TUS393265:TUS393266 TUS458801:TUS458802 TUS524337:TUS524338 TUS589873:TUS589874 TUS655409:TUS655410 TUS720945:TUS720946 TUS786481:TUS786482 TUS852017:TUS852018 TUS917553:TUS917554 TUS983089:TUS983090 UEO65585:UEO65586 UEO131121:UEO131122 UEO196657:UEO196658 UEO262193:UEO262194 UEO327729:UEO327730 UEO393265:UEO393266 UEO458801:UEO458802 UEO524337:UEO524338 UEO589873:UEO589874 UEO655409:UEO655410 UEO720945:UEO720946 UEO786481:UEO786482 UEO852017:UEO852018 UEO917553:UEO917554 UEO983089:UEO983090 UOK65585:UOK65586 UOK131121:UOK131122 UOK196657:UOK196658 UOK262193:UOK262194 UOK327729:UOK327730 UOK393265:UOK393266 UOK458801:UOK458802 UOK524337:UOK524338 UOK589873:UOK589874 UOK655409:UOK655410 UOK720945:UOK720946 UOK786481:UOK786482 UOK852017:UOK852018 UOK917553:UOK917554 UOK983089:UOK983090 UYG65585:UYG65586 UYG131121:UYG131122 UYG196657:UYG196658 UYG262193:UYG262194 UYG327729:UYG327730 UYG393265:UYG393266 UYG458801:UYG458802 UYG524337:UYG524338 UYG589873:UYG589874 UYG655409:UYG655410 UYG720945:UYG720946 UYG786481:UYG786482 UYG852017:UYG852018 UYG917553:UYG917554 UYG983089:UYG983090 VIC65585:VIC65586 VIC131121:VIC131122 VIC196657:VIC196658 VIC262193:VIC262194 VIC327729:VIC327730 VIC393265:VIC393266 VIC458801:VIC458802 VIC524337:VIC524338 VIC589873:VIC589874 VIC655409:VIC655410 VIC720945:VIC720946 VIC786481:VIC786482 VIC852017:VIC852018 VIC917553:VIC917554 VIC983089:VIC983090 VRY65585:VRY65586 VRY131121:VRY131122 VRY196657:VRY196658 VRY262193:VRY262194 VRY327729:VRY327730 VRY393265:VRY393266 VRY458801:VRY458802 VRY524337:VRY524338 VRY589873:VRY589874 VRY655409:VRY655410 VRY720945:VRY720946 VRY786481:VRY786482 VRY852017:VRY852018 VRY917553:VRY917554 VRY983089:VRY983090 WBU65585:WBU65586 WBU131121:WBU131122 WBU196657:WBU196658 WBU262193:WBU262194 WBU327729:WBU327730 WBU393265:WBU393266 WBU458801:WBU458802 WBU524337:WBU524338 WBU589873:WBU589874 WBU655409:WBU655410 WBU720945:WBU720946 WBU786481:WBU786482 WBU852017:WBU852018 WBU917553:WBU917554 WBU983089:WBU983090 WLQ65585:WLQ65586 WLQ131121:WLQ131122 WLQ196657:WLQ196658 WLQ262193:WLQ262194 WLQ327729:WLQ327730 WLQ393265:WLQ393266 WLQ458801:WLQ458802 WLQ524337:WLQ524338 WLQ589873:WLQ589874 WLQ655409:WLQ655410 WLQ720945:WLQ720946 WLQ786481:WLQ786482 WLQ852017:WLQ852018 WLQ917553:WLQ917554 WLQ983089:WLQ983090 WVM65585:WVM65586 WVM131121:WVM131122 WVM196657:WVM196658 WVM262193:WVM262194 WVM327729:WVM327730 WVM393265:WVM393266 WVM458801:WVM458802 WVM524337:WVM524338 WVM589873:WVM589874 WVM655409:WVM655410 WVM720945:WVM720946 WVM786481:WVM786482 WVM852017:WVM852018 WVM917553:WVM917554 WVM983089:WVM983090 WVM983147:WVM983150 JA131121:JA131122 JA65571 SW65571 ACS65571 AMO65571 AWK65571 BGG65571 BQC65571 BZY65571 CJU65571 CTQ65571 DDM65571 DNI65571 DXE65571 EHA65571 EQW65571 FAS65571 FKO65571 FUK65571 GEG65571 GOC65571 GXY65571 HHU65571 HRQ65571 IBM65571 ILI65571 IVE65571 JFA65571 JOW65571 JYS65571 KIO65571 KSK65571 LCG65571 LMC65571 LVY65571 MFU65571 MPQ65571 MZM65571 NJI65571 NTE65571 ODA65571 OMW65571 OWS65571 PGO65571 PQK65571 QAG65571 QKC65571 QTY65571 RDU65571 RNQ65571 RXM65571 SHI65571 SRE65571 TBA65571 TKW65571 TUS65571 UEO65571 UOK65571 UYG65571 VIC65571 VRY65571 WBU65571 WLQ65571 WVM65571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JA65577 SW65577 ACS65577 AMO65577 AWK65577 BGG65577 BQC65577 BZY65577 CJU65577 CTQ65577 DDM65577 DNI65577 DXE65577 EHA65577 EQW65577 FAS65577 FKO65577 FUK65577 GEG65577 GOC65577 GXY65577 HHU65577 HRQ65577 IBM65577 ILI65577 IVE65577 JFA65577 JOW65577 JYS65577 KIO65577 KSK65577 LCG65577 LMC65577 LVY65577 MFU65577 MPQ65577 MZM65577 NJI65577 NTE65577 ODA65577 OMW65577 OWS65577 PGO65577 PQK65577 QAG65577 QKC65577 QTY65577 RDU65577 RNQ65577 RXM65577 SHI65577 SRE65577 TBA65577 TKW65577 TUS65577 UEO65577 UOK65577 UYG65577 VIC65577 VRY65577 WBU65577 WLQ65577 WVM65577 JA65579 SW65579 ACS65579 AMO65579 AWK65579 BGG65579 BQC65579 BZY65579 CJU65579 CTQ65579 DDM65579 DNI65579 DXE65579 EHA65579 EQW65579 FAS65579 FKO65579 FUK65579 GEG65579 GOC65579 GXY65579 HHU65579 HRQ65579 IBM65579 ILI65579 IVE65579 JFA65579 JOW65579 JYS65579 KIO65579 KSK65579 LCG65579 LMC65579 LVY65579 MFU65579 MPQ65579 MZM65579 NJI65579 NTE65579 ODA65579 OMW65579 OWS65579 PGO65579 PQK65579 QAG65579 QKC65579 QTY65579 RDU65579 RNQ65579 RXM65579 SHI65579 SRE65579 TBA65579 TKW65579 TUS65579 UEO65579 UOK65579 UYG65579 VIC65579 VRY65579 WBU65579 WLQ65579 WVM65579 JA65588:JA65593 SW65588:SW65593 ACS65588:ACS65593 AMO65588:AMO65593 AWK65588:AWK65593 BGG65588:BGG65593 BQC65588:BQC65593 BZY65588:BZY65593 CJU65588:CJU65593 CTQ65588:CTQ65593 DDM65588:DDM65593 DNI65588:DNI65593 DXE65588:DXE65593 EHA65588:EHA65593 EQW65588:EQW65593 FAS65588:FAS65593 FKO65588:FKO65593 FUK65588:FUK65593 GEG65588:GEG65593 GOC65588:GOC65593 GXY65588:GXY65593 HHU65588:HHU65593 HRQ65588:HRQ65593 IBM65588:IBM65593 ILI65588:ILI65593 IVE65588:IVE65593 JFA65588:JFA65593 JOW65588:JOW65593 JYS65588:JYS65593 KIO65588:KIO65593 KSK65588:KSK65593 LCG65588:LCG65593 LMC65588:LMC65593 LVY65588:LVY65593 MFU65588:MFU65593 MPQ65588:MPQ65593 MZM65588:MZM65593 NJI65588:NJI65593 NTE65588:NTE65593 ODA65588:ODA65593 OMW65588:OMW65593 OWS65588:OWS65593 PGO65588:PGO65593 PQK65588:PQK65593 QAG65588:QAG65593 QKC65588:QKC65593 QTY65588:QTY65593 RDU65588:RDU65593 RNQ65588:RNQ65593 RXM65588:RXM65593 SHI65588:SHI65593 SRE65588:SRE65593 TBA65588:TBA65593 TKW65588:TKW65593 TUS65588:TUS65593 UEO65588:UEO65593 UOK65588:UOK65593 UYG65588:UYG65593 VIC65588:VIC65593 VRY65588:VRY65593 WBU65588:WBU65593 WLQ65588:WLQ65593 WVM65588:WVM65593 JA131107 SW131107 ACS131107 AMO131107 AWK131107 BGG131107 BQC131107 BZY131107 CJU131107 CTQ131107 DDM131107 DNI131107 DXE131107 EHA131107 EQW131107 FAS131107 FKO131107 FUK131107 GEG131107 GOC131107 GXY131107 HHU131107 HRQ131107 IBM131107 ILI131107 IVE131107 JFA131107 JOW131107 JYS131107 KIO131107 KSK131107 LCG131107 LMC131107 LVY131107 MFU131107 MPQ131107 MZM131107 NJI131107 NTE131107 ODA131107 OMW131107 OWS131107 PGO131107 PQK131107 QAG131107 QKC131107 QTY131107 RDU131107 RNQ131107 RXM131107 SHI131107 SRE131107 TBA131107 TKW131107 TUS131107 UEO131107 UOK131107 UYG131107 VIC131107 VRY131107 WBU131107 WLQ131107 WVM131107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JA131113 SW131113 ACS131113 AMO131113 AWK131113 BGG131113 BQC131113 BZY131113 CJU131113 CTQ131113 DDM131113 DNI131113 DXE131113 EHA131113 EQW131113 FAS131113 FKO131113 FUK131113 GEG131113 GOC131113 GXY131113 HHU131113 HRQ131113 IBM131113 ILI131113 IVE131113 JFA131113 JOW131113 JYS131113 KIO131113 KSK131113 LCG131113 LMC131113 LVY131113 MFU131113 MPQ131113 MZM131113 NJI131113 NTE131113 ODA131113 OMW131113 OWS131113 PGO131113 PQK131113 QAG131113 QKC131113 QTY131113 RDU131113 RNQ131113 RXM131113 SHI131113 SRE131113 TBA131113 TKW131113 TUS131113 UEO131113 UOK131113 UYG131113 VIC131113 VRY131113 WBU131113 WLQ131113 WVM131113 JA131115 SW131115 ACS131115 AMO131115 AWK131115 BGG131115 BQC131115 BZY131115 CJU131115 CTQ131115 DDM131115 DNI131115 DXE131115 EHA131115 EQW131115 FAS131115 FKO131115 FUK131115 GEG131115 GOC131115 GXY131115 HHU131115 HRQ131115 IBM131115 ILI131115 IVE131115 JFA131115 JOW131115 JYS131115 KIO131115 KSK131115 LCG131115 LMC131115 LVY131115 MFU131115 MPQ131115 MZM131115 NJI131115 NTE131115 ODA131115 OMW131115 OWS131115 PGO131115 PQK131115 QAG131115 QKC131115 QTY131115 RDU131115 RNQ131115 RXM131115 SHI131115 SRE131115 TBA131115 TKW131115 TUS131115 UEO131115 UOK131115 UYG131115 VIC131115 VRY131115 WBU131115 WLQ131115 WVM131115 JA131124:JA131129 SW131124:SW131129 ACS131124:ACS131129 AMO131124:AMO131129 AWK131124:AWK131129 BGG131124:BGG131129 BQC131124:BQC131129 BZY131124:BZY131129 CJU131124:CJU131129 CTQ131124:CTQ131129 DDM131124:DDM131129 DNI131124:DNI131129 DXE131124:DXE131129 EHA131124:EHA131129 EQW131124:EQW131129 FAS131124:FAS131129 FKO131124:FKO131129 FUK131124:FUK131129 GEG131124:GEG131129 GOC131124:GOC131129 GXY131124:GXY131129 HHU131124:HHU131129 HRQ131124:HRQ131129 IBM131124:IBM131129 ILI131124:ILI131129 IVE131124:IVE131129 JFA131124:JFA131129 JOW131124:JOW131129 JYS131124:JYS131129 KIO131124:KIO131129 KSK131124:KSK131129 LCG131124:LCG131129 LMC131124:LMC131129 LVY131124:LVY131129 MFU131124:MFU131129 MPQ131124:MPQ131129 MZM131124:MZM131129 NJI131124:NJI131129 NTE131124:NTE131129 ODA131124:ODA131129 OMW131124:OMW131129 OWS131124:OWS131129 PGO131124:PGO131129 PQK131124:PQK131129 QAG131124:QAG131129 QKC131124:QKC131129 QTY131124:QTY131129 RDU131124:RDU131129 RNQ131124:RNQ131129 RXM131124:RXM131129 SHI131124:SHI131129 SRE131124:SRE131129 TBA131124:TBA131129 TKW131124:TKW131129 TUS131124:TUS131129 UEO131124:UEO131129 UOK131124:UOK131129 UYG131124:UYG131129 VIC131124:VIC131129 VRY131124:VRY131129 WBU131124:WBU131129 WLQ131124:WLQ131129 WVM131124:WVM131129 JA196643 SW196643 ACS196643 AMO196643 AWK196643 BGG196643 BQC196643 BZY196643 CJU196643 CTQ196643 DDM196643 DNI196643 DXE196643 EHA196643 EQW196643 FAS196643 FKO196643 FUK196643 GEG196643 GOC196643 GXY196643 HHU196643 HRQ196643 IBM196643 ILI196643 IVE196643 JFA196643 JOW196643 JYS196643 KIO196643 KSK196643 LCG196643 LMC196643 LVY196643 MFU196643 MPQ196643 MZM196643 NJI196643 NTE196643 ODA196643 OMW196643 OWS196643 PGO196643 PQK196643 QAG196643 QKC196643 QTY196643 RDU196643 RNQ196643 RXM196643 SHI196643 SRE196643 TBA196643 TKW196643 TUS196643 UEO196643 UOK196643 UYG196643 VIC196643 VRY196643 WBU196643 WLQ196643 WVM196643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JA196649 SW196649 ACS196649 AMO196649 AWK196649 BGG196649 BQC196649 BZY196649 CJU196649 CTQ196649 DDM196649 DNI196649 DXE196649 EHA196649 EQW196649 FAS196649 FKO196649 FUK196649 GEG196649 GOC196649 GXY196649 HHU196649 HRQ196649 IBM196649 ILI196649 IVE196649 JFA196649 JOW196649 JYS196649 KIO196649 KSK196649 LCG196649 LMC196649 LVY196649 MFU196649 MPQ196649 MZM196649 NJI196649 NTE196649 ODA196649 OMW196649 OWS196649 PGO196649 PQK196649 QAG196649 QKC196649 QTY196649 RDU196649 RNQ196649 RXM196649 SHI196649 SRE196649 TBA196649 TKW196649 TUS196649 UEO196649 UOK196649 UYG196649 VIC196649 VRY196649 WBU196649 WLQ196649 WVM196649 JA196651 SW196651 ACS196651 AMO196651 AWK196651 BGG196651 BQC196651 BZY196651 CJU196651 CTQ196651 DDM196651 DNI196651 DXE196651 EHA196651 EQW196651 FAS196651 FKO196651 FUK196651 GEG196651 GOC196651 GXY196651 HHU196651 HRQ196651 IBM196651 ILI196651 IVE196651 JFA196651 JOW196651 JYS196651 KIO196651 KSK196651 LCG196651 LMC196651 LVY196651 MFU196651 MPQ196651 MZM196651 NJI196651 NTE196651 ODA196651 OMW196651 OWS196651 PGO196651 PQK196651 QAG196651 QKC196651 QTY196651 RDU196651 RNQ196651 RXM196651 SHI196651 SRE196651 TBA196651 TKW196651 TUS196651 UEO196651 UOK196651 UYG196651 VIC196651 VRY196651 WBU196651 WLQ196651 WVM196651 JA196660:JA196665 SW196660:SW196665 ACS196660:ACS196665 AMO196660:AMO196665 AWK196660:AWK196665 BGG196660:BGG196665 BQC196660:BQC196665 BZY196660:BZY196665 CJU196660:CJU196665 CTQ196660:CTQ196665 DDM196660:DDM196665 DNI196660:DNI196665 DXE196660:DXE196665 EHA196660:EHA196665 EQW196660:EQW196665 FAS196660:FAS196665 FKO196660:FKO196665 FUK196660:FUK196665 GEG196660:GEG196665 GOC196660:GOC196665 GXY196660:GXY196665 HHU196660:HHU196665 HRQ196660:HRQ196665 IBM196660:IBM196665 ILI196660:ILI196665 IVE196660:IVE196665 JFA196660:JFA196665 JOW196660:JOW196665 JYS196660:JYS196665 KIO196660:KIO196665 KSK196660:KSK196665 LCG196660:LCG196665 LMC196660:LMC196665 LVY196660:LVY196665 MFU196660:MFU196665 MPQ196660:MPQ196665 MZM196660:MZM196665 NJI196660:NJI196665 NTE196660:NTE196665 ODA196660:ODA196665 OMW196660:OMW196665 OWS196660:OWS196665 PGO196660:PGO196665 PQK196660:PQK196665 QAG196660:QAG196665 QKC196660:QKC196665 QTY196660:QTY196665 RDU196660:RDU196665 RNQ196660:RNQ196665 RXM196660:RXM196665 SHI196660:SHI196665 SRE196660:SRE196665 TBA196660:TBA196665 TKW196660:TKW196665 TUS196660:TUS196665 UEO196660:UEO196665 UOK196660:UOK196665 UYG196660:UYG196665 VIC196660:VIC196665 VRY196660:VRY196665 WBU196660:WBU196665 WLQ196660:WLQ196665 WVM196660:WVM196665 JA262179 SW262179 ACS262179 AMO262179 AWK262179 BGG262179 BQC262179 BZY262179 CJU262179 CTQ262179 DDM262179 DNI262179 DXE262179 EHA262179 EQW262179 FAS262179 FKO262179 FUK262179 GEG262179 GOC262179 GXY262179 HHU262179 HRQ262179 IBM262179 ILI262179 IVE262179 JFA262179 JOW262179 JYS262179 KIO262179 KSK262179 LCG262179 LMC262179 LVY262179 MFU262179 MPQ262179 MZM262179 NJI262179 NTE262179 ODA262179 OMW262179 OWS262179 PGO262179 PQK262179 QAG262179 QKC262179 QTY262179 RDU262179 RNQ262179 RXM262179 SHI262179 SRE262179 TBA262179 TKW262179 TUS262179 UEO262179 UOK262179 UYG262179 VIC262179 VRY262179 WBU262179 WLQ262179 WVM262179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JA262185 SW262185 ACS262185 AMO262185 AWK262185 BGG262185 BQC262185 BZY262185 CJU262185 CTQ262185 DDM262185 DNI262185 DXE262185 EHA262185 EQW262185 FAS262185 FKO262185 FUK262185 GEG262185 GOC262185 GXY262185 HHU262185 HRQ262185 IBM262185 ILI262185 IVE262185 JFA262185 JOW262185 JYS262185 KIO262185 KSK262185 LCG262185 LMC262185 LVY262185 MFU262185 MPQ262185 MZM262185 NJI262185 NTE262185 ODA262185 OMW262185 OWS262185 PGO262185 PQK262185 QAG262185 QKC262185 QTY262185 RDU262185 RNQ262185 RXM262185 SHI262185 SRE262185 TBA262185 TKW262185 TUS262185 UEO262185 UOK262185 UYG262185 VIC262185 VRY262185 WBU262185 WLQ262185 WVM262185 JA262187 SW262187 ACS262187 AMO262187 AWK262187 BGG262187 BQC262187 BZY262187 CJU262187 CTQ262187 DDM262187 DNI262187 DXE262187 EHA262187 EQW262187 FAS262187 FKO262187 FUK262187 GEG262187 GOC262187 GXY262187 HHU262187 HRQ262187 IBM262187 ILI262187 IVE262187 JFA262187 JOW262187 JYS262187 KIO262187 KSK262187 LCG262187 LMC262187 LVY262187 MFU262187 MPQ262187 MZM262187 NJI262187 NTE262187 ODA262187 OMW262187 OWS262187 PGO262187 PQK262187 QAG262187 QKC262187 QTY262187 RDU262187 RNQ262187 RXM262187 SHI262187 SRE262187 TBA262187 TKW262187 TUS262187 UEO262187 UOK262187 UYG262187 VIC262187 VRY262187 WBU262187 WLQ262187 WVM262187 JA262196:JA262201 SW262196:SW262201 ACS262196:ACS262201 AMO262196:AMO262201 AWK262196:AWK262201 BGG262196:BGG262201 BQC262196:BQC262201 BZY262196:BZY262201 CJU262196:CJU262201 CTQ262196:CTQ262201 DDM262196:DDM262201 DNI262196:DNI262201 DXE262196:DXE262201 EHA262196:EHA262201 EQW262196:EQW262201 FAS262196:FAS262201 FKO262196:FKO262201 FUK262196:FUK262201 GEG262196:GEG262201 GOC262196:GOC262201 GXY262196:GXY262201 HHU262196:HHU262201 HRQ262196:HRQ262201 IBM262196:IBM262201 ILI262196:ILI262201 IVE262196:IVE262201 JFA262196:JFA262201 JOW262196:JOW262201 JYS262196:JYS262201 KIO262196:KIO262201 KSK262196:KSK262201 LCG262196:LCG262201 LMC262196:LMC262201 LVY262196:LVY262201 MFU262196:MFU262201 MPQ262196:MPQ262201 MZM262196:MZM262201 NJI262196:NJI262201 NTE262196:NTE262201 ODA262196:ODA262201 OMW262196:OMW262201 OWS262196:OWS262201 PGO262196:PGO262201 PQK262196:PQK262201 QAG262196:QAG262201 QKC262196:QKC262201 QTY262196:QTY262201 RDU262196:RDU262201 RNQ262196:RNQ262201 RXM262196:RXM262201 SHI262196:SHI262201 SRE262196:SRE262201 TBA262196:TBA262201 TKW262196:TKW262201 TUS262196:TUS262201 UEO262196:UEO262201 UOK262196:UOK262201 UYG262196:UYG262201 VIC262196:VIC262201 VRY262196:VRY262201 WBU262196:WBU262201 WLQ262196:WLQ262201 WVM262196:WVM262201 JA327715 SW327715 ACS327715 AMO327715 AWK327715 BGG327715 BQC327715 BZY327715 CJU327715 CTQ327715 DDM327715 DNI327715 DXE327715 EHA327715 EQW327715 FAS327715 FKO327715 FUK327715 GEG327715 GOC327715 GXY327715 HHU327715 HRQ327715 IBM327715 ILI327715 IVE327715 JFA327715 JOW327715 JYS327715 KIO327715 KSK327715 LCG327715 LMC327715 LVY327715 MFU327715 MPQ327715 MZM327715 NJI327715 NTE327715 ODA327715 OMW327715 OWS327715 PGO327715 PQK327715 QAG327715 QKC327715 QTY327715 RDU327715 RNQ327715 RXM327715 SHI327715 SRE327715 TBA327715 TKW327715 TUS327715 UEO327715 UOK327715 UYG327715 VIC327715 VRY327715 WBU327715 WLQ327715 WVM327715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JA327721 SW327721 ACS327721 AMO327721 AWK327721 BGG327721 BQC327721 BZY327721 CJU327721 CTQ327721 DDM327721 DNI327721 DXE327721 EHA327721 EQW327721 FAS327721 FKO327721 FUK327721 GEG327721 GOC327721 GXY327721 HHU327721 HRQ327721 IBM327721 ILI327721 IVE327721 JFA327721 JOW327721 JYS327721 KIO327721 KSK327721 LCG327721 LMC327721 LVY327721 MFU327721 MPQ327721 MZM327721 NJI327721 NTE327721 ODA327721 OMW327721 OWS327721 PGO327721 PQK327721 QAG327721 QKC327721 QTY327721 RDU327721 RNQ327721 RXM327721 SHI327721 SRE327721 TBA327721 TKW327721 TUS327721 UEO327721 UOK327721 UYG327721 VIC327721 VRY327721 WBU327721 WLQ327721 WVM327721 JA327723 SW327723 ACS327723 AMO327723 AWK327723 BGG327723 BQC327723 BZY327723 CJU327723 CTQ327723 DDM327723 DNI327723 DXE327723 EHA327723 EQW327723 FAS327723 FKO327723 FUK327723 GEG327723 GOC327723 GXY327723 HHU327723 HRQ327723 IBM327723 ILI327723 IVE327723 JFA327723 JOW327723 JYS327723 KIO327723 KSK327723 LCG327723 LMC327723 LVY327723 MFU327723 MPQ327723 MZM327723 NJI327723 NTE327723 ODA327723 OMW327723 OWS327723 PGO327723 PQK327723 QAG327723 QKC327723 QTY327723 RDU327723 RNQ327723 RXM327723 SHI327723 SRE327723 TBA327723 TKW327723 TUS327723 UEO327723 UOK327723 UYG327723 VIC327723 VRY327723 WBU327723 WLQ327723 WVM327723 JA327732:JA327737 SW327732:SW327737 ACS327732:ACS327737 AMO327732:AMO327737 AWK327732:AWK327737 BGG327732:BGG327737 BQC327732:BQC327737 BZY327732:BZY327737 CJU327732:CJU327737 CTQ327732:CTQ327737 DDM327732:DDM327737 DNI327732:DNI327737 DXE327732:DXE327737 EHA327732:EHA327737 EQW327732:EQW327737 FAS327732:FAS327737 FKO327732:FKO327737 FUK327732:FUK327737 GEG327732:GEG327737 GOC327732:GOC327737 GXY327732:GXY327737 HHU327732:HHU327737 HRQ327732:HRQ327737 IBM327732:IBM327737 ILI327732:ILI327737 IVE327732:IVE327737 JFA327732:JFA327737 JOW327732:JOW327737 JYS327732:JYS327737 KIO327732:KIO327737 KSK327732:KSK327737 LCG327732:LCG327737 LMC327732:LMC327737 LVY327732:LVY327737 MFU327732:MFU327737 MPQ327732:MPQ327737 MZM327732:MZM327737 NJI327732:NJI327737 NTE327732:NTE327737 ODA327732:ODA327737 OMW327732:OMW327737 OWS327732:OWS327737 PGO327732:PGO327737 PQK327732:PQK327737 QAG327732:QAG327737 QKC327732:QKC327737 QTY327732:QTY327737 RDU327732:RDU327737 RNQ327732:RNQ327737 RXM327732:RXM327737 SHI327732:SHI327737 SRE327732:SRE327737 TBA327732:TBA327737 TKW327732:TKW327737 TUS327732:TUS327737 UEO327732:UEO327737 UOK327732:UOK327737 UYG327732:UYG327737 VIC327732:VIC327737 VRY327732:VRY327737 WBU327732:WBU327737 WLQ327732:WLQ327737 WVM327732:WVM327737 JA393251 SW393251 ACS393251 AMO393251 AWK393251 BGG393251 BQC393251 BZY393251 CJU393251 CTQ393251 DDM393251 DNI393251 DXE393251 EHA393251 EQW393251 FAS393251 FKO393251 FUK393251 GEG393251 GOC393251 GXY393251 HHU393251 HRQ393251 IBM393251 ILI393251 IVE393251 JFA393251 JOW393251 JYS393251 KIO393251 KSK393251 LCG393251 LMC393251 LVY393251 MFU393251 MPQ393251 MZM393251 NJI393251 NTE393251 ODA393251 OMW393251 OWS393251 PGO393251 PQK393251 QAG393251 QKC393251 QTY393251 RDU393251 RNQ393251 RXM393251 SHI393251 SRE393251 TBA393251 TKW393251 TUS393251 UEO393251 UOK393251 UYG393251 VIC393251 VRY393251 WBU393251 WLQ393251 WVM393251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JA393257 SW393257 ACS393257 AMO393257 AWK393257 BGG393257 BQC393257 BZY393257 CJU393257 CTQ393257 DDM393257 DNI393257 DXE393257 EHA393257 EQW393257 FAS393257 FKO393257 FUK393257 GEG393257 GOC393257 GXY393257 HHU393257 HRQ393257 IBM393257 ILI393257 IVE393257 JFA393257 JOW393257 JYS393257 KIO393257 KSK393257 LCG393257 LMC393257 LVY393257 MFU393257 MPQ393257 MZM393257 NJI393257 NTE393257 ODA393257 OMW393257 OWS393257 PGO393257 PQK393257 QAG393257 QKC393257 QTY393257 RDU393257 RNQ393257 RXM393257 SHI393257 SRE393257 TBA393257 TKW393257 TUS393257 UEO393257 UOK393257 UYG393257 VIC393257 VRY393257 WBU393257 WLQ393257 WVM393257 JA393259 SW393259 ACS393259 AMO393259 AWK393259 BGG393259 BQC393259 BZY393259 CJU393259 CTQ393259 DDM393259 DNI393259 DXE393259 EHA393259 EQW393259 FAS393259 FKO393259 FUK393259 GEG393259 GOC393259 GXY393259 HHU393259 HRQ393259 IBM393259 ILI393259 IVE393259 JFA393259 JOW393259 JYS393259 KIO393259 KSK393259 LCG393259 LMC393259 LVY393259 MFU393259 MPQ393259 MZM393259 NJI393259 NTE393259 ODA393259 OMW393259 OWS393259 PGO393259 PQK393259 QAG393259 QKC393259 QTY393259 RDU393259 RNQ393259 RXM393259 SHI393259 SRE393259 TBA393259 TKW393259 TUS393259 UEO393259 UOK393259 UYG393259 VIC393259 VRY393259 WBU393259 WLQ393259 WVM393259 JA393268:JA393273 SW393268:SW393273 ACS393268:ACS393273 AMO393268:AMO393273 AWK393268:AWK393273 BGG393268:BGG393273 BQC393268:BQC393273 BZY393268:BZY393273 CJU393268:CJU393273 CTQ393268:CTQ393273 DDM393268:DDM393273 DNI393268:DNI393273 DXE393268:DXE393273 EHA393268:EHA393273 EQW393268:EQW393273 FAS393268:FAS393273 FKO393268:FKO393273 FUK393268:FUK393273 GEG393268:GEG393273 GOC393268:GOC393273 GXY393268:GXY393273 HHU393268:HHU393273 HRQ393268:HRQ393273 IBM393268:IBM393273 ILI393268:ILI393273 IVE393268:IVE393273 JFA393268:JFA393273 JOW393268:JOW393273 JYS393268:JYS393273 KIO393268:KIO393273 KSK393268:KSK393273 LCG393268:LCG393273 LMC393268:LMC393273 LVY393268:LVY393273 MFU393268:MFU393273 MPQ393268:MPQ393273 MZM393268:MZM393273 NJI393268:NJI393273 NTE393268:NTE393273 ODA393268:ODA393273 OMW393268:OMW393273 OWS393268:OWS393273 PGO393268:PGO393273 PQK393268:PQK393273 QAG393268:QAG393273 QKC393268:QKC393273 QTY393268:QTY393273 RDU393268:RDU393273 RNQ393268:RNQ393273 RXM393268:RXM393273 SHI393268:SHI393273 SRE393268:SRE393273 TBA393268:TBA393273 TKW393268:TKW393273 TUS393268:TUS393273 UEO393268:UEO393273 UOK393268:UOK393273 UYG393268:UYG393273 VIC393268:VIC393273 VRY393268:VRY393273 WBU393268:WBU393273 WLQ393268:WLQ393273 WVM393268:WVM393273 JA458787 SW458787 ACS458787 AMO458787 AWK458787 BGG458787 BQC458787 BZY458787 CJU458787 CTQ458787 DDM458787 DNI458787 DXE458787 EHA458787 EQW458787 FAS458787 FKO458787 FUK458787 GEG458787 GOC458787 GXY458787 HHU458787 HRQ458787 IBM458787 ILI458787 IVE458787 JFA458787 JOW458787 JYS458787 KIO458787 KSK458787 LCG458787 LMC458787 LVY458787 MFU458787 MPQ458787 MZM458787 NJI458787 NTE458787 ODA458787 OMW458787 OWS458787 PGO458787 PQK458787 QAG458787 QKC458787 QTY458787 RDU458787 RNQ458787 RXM458787 SHI458787 SRE458787 TBA458787 TKW458787 TUS458787 UEO458787 UOK458787 UYG458787 VIC458787 VRY458787 WBU458787 WLQ458787 WVM458787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JA458793 SW458793 ACS458793 AMO458793 AWK458793 BGG458793 BQC458793 BZY458793 CJU458793 CTQ458793 DDM458793 DNI458793 DXE458793 EHA458793 EQW458793 FAS458793 FKO458793 FUK458793 GEG458793 GOC458793 GXY458793 HHU458793 HRQ458793 IBM458793 ILI458793 IVE458793 JFA458793 JOW458793 JYS458793 KIO458793 KSK458793 LCG458793 LMC458793 LVY458793 MFU458793 MPQ458793 MZM458793 NJI458793 NTE458793 ODA458793 OMW458793 OWS458793 PGO458793 PQK458793 QAG458793 QKC458793 QTY458793 RDU458793 RNQ458793 RXM458793 SHI458793 SRE458793 TBA458793 TKW458793 TUS458793 UEO458793 UOK458793 UYG458793 VIC458793 VRY458793 WBU458793 WLQ458793 WVM458793 JA458795 SW458795 ACS458795 AMO458795 AWK458795 BGG458795 BQC458795 BZY458795 CJU458795 CTQ458795 DDM458795 DNI458795 DXE458795 EHA458795 EQW458795 FAS458795 FKO458795 FUK458795 GEG458795 GOC458795 GXY458795 HHU458795 HRQ458795 IBM458795 ILI458795 IVE458795 JFA458795 JOW458795 JYS458795 KIO458795 KSK458795 LCG458795 LMC458795 LVY458795 MFU458795 MPQ458795 MZM458795 NJI458795 NTE458795 ODA458795 OMW458795 OWS458795 PGO458795 PQK458795 QAG458795 QKC458795 QTY458795 RDU458795 RNQ458795 RXM458795 SHI458795 SRE458795 TBA458795 TKW458795 TUS458795 UEO458795 UOK458795 UYG458795 VIC458795 VRY458795 WBU458795 WLQ458795 WVM458795 JA458804:JA458809 SW458804:SW458809 ACS458804:ACS458809 AMO458804:AMO458809 AWK458804:AWK458809 BGG458804:BGG458809 BQC458804:BQC458809 BZY458804:BZY458809 CJU458804:CJU458809 CTQ458804:CTQ458809 DDM458804:DDM458809 DNI458804:DNI458809 DXE458804:DXE458809 EHA458804:EHA458809 EQW458804:EQW458809 FAS458804:FAS458809 FKO458804:FKO458809 FUK458804:FUK458809 GEG458804:GEG458809 GOC458804:GOC458809 GXY458804:GXY458809 HHU458804:HHU458809 HRQ458804:HRQ458809 IBM458804:IBM458809 ILI458804:ILI458809 IVE458804:IVE458809 JFA458804:JFA458809 JOW458804:JOW458809 JYS458804:JYS458809 KIO458804:KIO458809 KSK458804:KSK458809 LCG458804:LCG458809 LMC458804:LMC458809 LVY458804:LVY458809 MFU458804:MFU458809 MPQ458804:MPQ458809 MZM458804:MZM458809 NJI458804:NJI458809 NTE458804:NTE458809 ODA458804:ODA458809 OMW458804:OMW458809 OWS458804:OWS458809 PGO458804:PGO458809 PQK458804:PQK458809 QAG458804:QAG458809 QKC458804:QKC458809 QTY458804:QTY458809 RDU458804:RDU458809 RNQ458804:RNQ458809 RXM458804:RXM458809 SHI458804:SHI458809 SRE458804:SRE458809 TBA458804:TBA458809 TKW458804:TKW458809 TUS458804:TUS458809 UEO458804:UEO458809 UOK458804:UOK458809 UYG458804:UYG458809 VIC458804:VIC458809 VRY458804:VRY458809 WBU458804:WBU458809 WLQ458804:WLQ458809 WVM458804:WVM458809 JA524323 SW524323 ACS524323 AMO524323 AWK524323 BGG524323 BQC524323 BZY524323 CJU524323 CTQ524323 DDM524323 DNI524323 DXE524323 EHA524323 EQW524323 FAS524323 FKO524323 FUK524323 GEG524323 GOC524323 GXY524323 HHU524323 HRQ524323 IBM524323 ILI524323 IVE524323 JFA524323 JOW524323 JYS524323 KIO524323 KSK524323 LCG524323 LMC524323 LVY524323 MFU524323 MPQ524323 MZM524323 NJI524323 NTE524323 ODA524323 OMW524323 OWS524323 PGO524323 PQK524323 QAG524323 QKC524323 QTY524323 RDU524323 RNQ524323 RXM524323 SHI524323 SRE524323 TBA524323 TKW524323 TUS524323 UEO524323 UOK524323 UYG524323 VIC524323 VRY524323 WBU524323 WLQ524323 WVM524323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JA524329 SW524329 ACS524329 AMO524329 AWK524329 BGG524329 BQC524329 BZY524329 CJU524329 CTQ524329 DDM524329 DNI524329 DXE524329 EHA524329 EQW524329 FAS524329 FKO524329 FUK524329 GEG524329 GOC524329 GXY524329 HHU524329 HRQ524329 IBM524329 ILI524329 IVE524329 JFA524329 JOW524329 JYS524329 KIO524329 KSK524329 LCG524329 LMC524329 LVY524329 MFU524329 MPQ524329 MZM524329 NJI524329 NTE524329 ODA524329 OMW524329 OWS524329 PGO524329 PQK524329 QAG524329 QKC524329 QTY524329 RDU524329 RNQ524329 RXM524329 SHI524329 SRE524329 TBA524329 TKW524329 TUS524329 UEO524329 UOK524329 UYG524329 VIC524329 VRY524329 WBU524329 WLQ524329 WVM524329 JA524331 SW524331 ACS524331 AMO524331 AWK524331 BGG524331 BQC524331 BZY524331 CJU524331 CTQ524331 DDM524331 DNI524331 DXE524331 EHA524331 EQW524331 FAS524331 FKO524331 FUK524331 GEG524331 GOC524331 GXY524331 HHU524331 HRQ524331 IBM524331 ILI524331 IVE524331 JFA524331 JOW524331 JYS524331 KIO524331 KSK524331 LCG524331 LMC524331 LVY524331 MFU524331 MPQ524331 MZM524331 NJI524331 NTE524331 ODA524331 OMW524331 OWS524331 PGO524331 PQK524331 QAG524331 QKC524331 QTY524331 RDU524331 RNQ524331 RXM524331 SHI524331 SRE524331 TBA524331 TKW524331 TUS524331 UEO524331 UOK524331 UYG524331 VIC524331 VRY524331 WBU524331 WLQ524331 WVM524331 JA524340:JA524345 SW524340:SW524345 ACS524340:ACS524345 AMO524340:AMO524345 AWK524340:AWK524345 BGG524340:BGG524345 BQC524340:BQC524345 BZY524340:BZY524345 CJU524340:CJU524345 CTQ524340:CTQ524345 DDM524340:DDM524345 DNI524340:DNI524345 DXE524340:DXE524345 EHA524340:EHA524345 EQW524340:EQW524345 FAS524340:FAS524345 FKO524340:FKO524345 FUK524340:FUK524345 GEG524340:GEG524345 GOC524340:GOC524345 GXY524340:GXY524345 HHU524340:HHU524345 HRQ524340:HRQ524345 IBM524340:IBM524345 ILI524340:ILI524345 IVE524340:IVE524345 JFA524340:JFA524345 JOW524340:JOW524345 JYS524340:JYS524345 KIO524340:KIO524345 KSK524340:KSK524345 LCG524340:LCG524345 LMC524340:LMC524345 LVY524340:LVY524345 MFU524340:MFU524345 MPQ524340:MPQ524345 MZM524340:MZM524345 NJI524340:NJI524345 NTE524340:NTE524345 ODA524340:ODA524345 OMW524340:OMW524345 OWS524340:OWS524345 PGO524340:PGO524345 PQK524340:PQK524345 QAG524340:QAG524345 QKC524340:QKC524345 QTY524340:QTY524345 RDU524340:RDU524345 RNQ524340:RNQ524345 RXM524340:RXM524345 SHI524340:SHI524345 SRE524340:SRE524345 TBA524340:TBA524345 TKW524340:TKW524345 TUS524340:TUS524345 UEO524340:UEO524345 UOK524340:UOK524345 UYG524340:UYG524345 VIC524340:VIC524345 VRY524340:VRY524345 WBU524340:WBU524345 WLQ524340:WLQ524345 WVM524340:WVM524345 JA589859 SW589859 ACS589859 AMO589859 AWK589859 BGG589859 BQC589859 BZY589859 CJU589859 CTQ589859 DDM589859 DNI589859 DXE589859 EHA589859 EQW589859 FAS589859 FKO589859 FUK589859 GEG589859 GOC589859 GXY589859 HHU589859 HRQ589859 IBM589859 ILI589859 IVE589859 JFA589859 JOW589859 JYS589859 KIO589859 KSK589859 LCG589859 LMC589859 LVY589859 MFU589859 MPQ589859 MZM589859 NJI589859 NTE589859 ODA589859 OMW589859 OWS589859 PGO589859 PQK589859 QAG589859 QKC589859 QTY589859 RDU589859 RNQ589859 RXM589859 SHI589859 SRE589859 TBA589859 TKW589859 TUS589859 UEO589859 UOK589859 UYG589859 VIC589859 VRY589859 WBU589859 WLQ589859 WVM589859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JA589865 SW589865 ACS589865 AMO589865 AWK589865 BGG589865 BQC589865 BZY589865 CJU589865 CTQ589865 DDM589865 DNI589865 DXE589865 EHA589865 EQW589865 FAS589865 FKO589865 FUK589865 GEG589865 GOC589865 GXY589865 HHU589865 HRQ589865 IBM589865 ILI589865 IVE589865 JFA589865 JOW589865 JYS589865 KIO589865 KSK589865 LCG589865 LMC589865 LVY589865 MFU589865 MPQ589865 MZM589865 NJI589865 NTE589865 ODA589865 OMW589865 OWS589865 PGO589865 PQK589865 QAG589865 QKC589865 QTY589865 RDU589865 RNQ589865 RXM589865 SHI589865 SRE589865 TBA589865 TKW589865 TUS589865 UEO589865 UOK589865 UYG589865 VIC589865 VRY589865 WBU589865 WLQ589865 WVM589865 JA589867 SW589867 ACS589867 AMO589867 AWK589867 BGG589867 BQC589867 BZY589867 CJU589867 CTQ589867 DDM589867 DNI589867 DXE589867 EHA589867 EQW589867 FAS589867 FKO589867 FUK589867 GEG589867 GOC589867 GXY589867 HHU589867 HRQ589867 IBM589867 ILI589867 IVE589867 JFA589867 JOW589867 JYS589867 KIO589867 KSK589867 LCG589867 LMC589867 LVY589867 MFU589867 MPQ589867 MZM589867 NJI589867 NTE589867 ODA589867 OMW589867 OWS589867 PGO589867 PQK589867 QAG589867 QKC589867 QTY589867 RDU589867 RNQ589867 RXM589867 SHI589867 SRE589867 TBA589867 TKW589867 TUS589867 UEO589867 UOK589867 UYG589867 VIC589867 VRY589867 WBU589867 WLQ589867 WVM589867 JA589876:JA589881 SW589876:SW589881 ACS589876:ACS589881 AMO589876:AMO589881 AWK589876:AWK589881 BGG589876:BGG589881 BQC589876:BQC589881 BZY589876:BZY589881 CJU589876:CJU589881 CTQ589876:CTQ589881 DDM589876:DDM589881 DNI589876:DNI589881 DXE589876:DXE589881 EHA589876:EHA589881 EQW589876:EQW589881 FAS589876:FAS589881 FKO589876:FKO589881 FUK589876:FUK589881 GEG589876:GEG589881 GOC589876:GOC589881 GXY589876:GXY589881 HHU589876:HHU589881 HRQ589876:HRQ589881 IBM589876:IBM589881 ILI589876:ILI589881 IVE589876:IVE589881 JFA589876:JFA589881 JOW589876:JOW589881 JYS589876:JYS589881 KIO589876:KIO589881 KSK589876:KSK589881 LCG589876:LCG589881 LMC589876:LMC589881 LVY589876:LVY589881 MFU589876:MFU589881 MPQ589876:MPQ589881 MZM589876:MZM589881 NJI589876:NJI589881 NTE589876:NTE589881 ODA589876:ODA589881 OMW589876:OMW589881 OWS589876:OWS589881 PGO589876:PGO589881 PQK589876:PQK589881 QAG589876:QAG589881 QKC589876:QKC589881 QTY589876:QTY589881 RDU589876:RDU589881 RNQ589876:RNQ589881 RXM589876:RXM589881 SHI589876:SHI589881 SRE589876:SRE589881 TBA589876:TBA589881 TKW589876:TKW589881 TUS589876:TUS589881 UEO589876:UEO589881 UOK589876:UOK589881 UYG589876:UYG589881 VIC589876:VIC589881 VRY589876:VRY589881 WBU589876:WBU589881 WLQ589876:WLQ589881 WVM589876:WVM589881 JA655395 SW655395 ACS655395 AMO655395 AWK655395 BGG655395 BQC655395 BZY655395 CJU655395 CTQ655395 DDM655395 DNI655395 DXE655395 EHA655395 EQW655395 FAS655395 FKO655395 FUK655395 GEG655395 GOC655395 GXY655395 HHU655395 HRQ655395 IBM655395 ILI655395 IVE655395 JFA655395 JOW655395 JYS655395 KIO655395 KSK655395 LCG655395 LMC655395 LVY655395 MFU655395 MPQ655395 MZM655395 NJI655395 NTE655395 ODA655395 OMW655395 OWS655395 PGO655395 PQK655395 QAG655395 QKC655395 QTY655395 RDU655395 RNQ655395 RXM655395 SHI655395 SRE655395 TBA655395 TKW655395 TUS655395 UEO655395 UOK655395 UYG655395 VIC655395 VRY655395 WBU655395 WLQ655395 WVM655395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JA655401 SW655401 ACS655401 AMO655401 AWK655401 BGG655401 BQC655401 BZY655401 CJU655401 CTQ655401 DDM655401 DNI655401 DXE655401 EHA655401 EQW655401 FAS655401 FKO655401 FUK655401 GEG655401 GOC655401 GXY655401 HHU655401 HRQ655401 IBM655401 ILI655401 IVE655401 JFA655401 JOW655401 JYS655401 KIO655401 KSK655401 LCG655401 LMC655401 LVY655401 MFU655401 MPQ655401 MZM655401 NJI655401 NTE655401 ODA655401 OMW655401 OWS655401 PGO655401 PQK655401 QAG655401 QKC655401 QTY655401 RDU655401 RNQ655401 RXM655401 SHI655401 SRE655401 TBA655401 TKW655401 TUS655401 UEO655401 UOK655401 UYG655401 VIC655401 VRY655401 WBU655401 WLQ655401 WVM655401 JA655403 SW655403 ACS655403 AMO655403 AWK655403 BGG655403 BQC655403 BZY655403 CJU655403 CTQ655403 DDM655403 DNI655403 DXE655403 EHA655403 EQW655403 FAS655403 FKO655403 FUK655403 GEG655403 GOC655403 GXY655403 HHU655403 HRQ655403 IBM655403 ILI655403 IVE655403 JFA655403 JOW655403 JYS655403 KIO655403 KSK655403 LCG655403 LMC655403 LVY655403 MFU655403 MPQ655403 MZM655403 NJI655403 NTE655403 ODA655403 OMW655403 OWS655403 PGO655403 PQK655403 QAG655403 QKC655403 QTY655403 RDU655403 RNQ655403 RXM655403 SHI655403 SRE655403 TBA655403 TKW655403 TUS655403 UEO655403 UOK655403 UYG655403 VIC655403 VRY655403 WBU655403 WLQ655403 WVM655403 JA655412:JA655417 SW655412:SW655417 ACS655412:ACS655417 AMO655412:AMO655417 AWK655412:AWK655417 BGG655412:BGG655417 BQC655412:BQC655417 BZY655412:BZY655417 CJU655412:CJU655417 CTQ655412:CTQ655417 DDM655412:DDM655417 DNI655412:DNI655417 DXE655412:DXE655417 EHA655412:EHA655417 EQW655412:EQW655417 FAS655412:FAS655417 FKO655412:FKO655417 FUK655412:FUK655417 GEG655412:GEG655417 GOC655412:GOC655417 GXY655412:GXY655417 HHU655412:HHU655417 HRQ655412:HRQ655417 IBM655412:IBM655417 ILI655412:ILI655417 IVE655412:IVE655417 JFA655412:JFA655417 JOW655412:JOW655417 JYS655412:JYS655417 KIO655412:KIO655417 KSK655412:KSK655417 LCG655412:LCG655417 LMC655412:LMC655417 LVY655412:LVY655417 MFU655412:MFU655417 MPQ655412:MPQ655417 MZM655412:MZM655417 NJI655412:NJI655417 NTE655412:NTE655417 ODA655412:ODA655417 OMW655412:OMW655417 OWS655412:OWS655417 PGO655412:PGO655417 PQK655412:PQK655417 QAG655412:QAG655417 QKC655412:QKC655417 QTY655412:QTY655417 RDU655412:RDU655417 RNQ655412:RNQ655417 RXM655412:RXM655417 SHI655412:SHI655417 SRE655412:SRE655417 TBA655412:TBA655417 TKW655412:TKW655417 TUS655412:TUS655417 UEO655412:UEO655417 UOK655412:UOK655417 UYG655412:UYG655417 VIC655412:VIC655417 VRY655412:VRY655417 WBU655412:WBU655417 WLQ655412:WLQ655417 WVM655412:WVM655417 JA720931 SW720931 ACS720931 AMO720931 AWK720931 BGG720931 BQC720931 BZY720931 CJU720931 CTQ720931 DDM720931 DNI720931 DXE720931 EHA720931 EQW720931 FAS720931 FKO720931 FUK720931 GEG720931 GOC720931 GXY720931 HHU720931 HRQ720931 IBM720931 ILI720931 IVE720931 JFA720931 JOW720931 JYS720931 KIO720931 KSK720931 LCG720931 LMC720931 LVY720931 MFU720931 MPQ720931 MZM720931 NJI720931 NTE720931 ODA720931 OMW720931 OWS720931 PGO720931 PQK720931 QAG720931 QKC720931 QTY720931 RDU720931 RNQ720931 RXM720931 SHI720931 SRE720931 TBA720931 TKW720931 TUS720931 UEO720931 UOK720931 UYG720931 VIC720931 VRY720931 WBU720931 WLQ720931 WVM720931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JA720937 SW720937 ACS720937 AMO720937 AWK720937 BGG720937 BQC720937 BZY720937 CJU720937 CTQ720937 DDM720937 DNI720937 DXE720937 EHA720937 EQW720937 FAS720937 FKO720937 FUK720937 GEG720937 GOC720937 GXY720937 HHU720937 HRQ720937 IBM720937 ILI720937 IVE720937 JFA720937 JOW720937 JYS720937 KIO720937 KSK720937 LCG720937 LMC720937 LVY720937 MFU720937 MPQ720937 MZM720937 NJI720937 NTE720937 ODA720937 OMW720937 OWS720937 PGO720937 PQK720937 QAG720937 QKC720937 QTY720937 RDU720937 RNQ720937 RXM720937 SHI720937 SRE720937 TBA720937 TKW720937 TUS720937 UEO720937 UOK720937 UYG720937 VIC720937 VRY720937 WBU720937 WLQ720937 WVM720937 JA720939 SW720939 ACS720939 AMO720939 AWK720939 BGG720939 BQC720939 BZY720939 CJU720939 CTQ720939 DDM720939 DNI720939 DXE720939 EHA720939 EQW720939 FAS720939 FKO720939 FUK720939 GEG720939 GOC720939 GXY720939 HHU720939 HRQ720939 IBM720939 ILI720939 IVE720939 JFA720939 JOW720939 JYS720939 KIO720939 KSK720939 LCG720939 LMC720939 LVY720939 MFU720939 MPQ720939 MZM720939 NJI720939 NTE720939 ODA720939 OMW720939 OWS720939 PGO720939 PQK720939 QAG720939 QKC720939 QTY720939 RDU720939 RNQ720939 RXM720939 SHI720939 SRE720939 TBA720939 TKW720939 TUS720939 UEO720939 UOK720939 UYG720939 VIC720939 VRY720939 WBU720939 WLQ720939 WVM720939 JA720948:JA720953 SW720948:SW720953 ACS720948:ACS720953 AMO720948:AMO720953 AWK720948:AWK720953 BGG720948:BGG720953 BQC720948:BQC720953 BZY720948:BZY720953 CJU720948:CJU720953 CTQ720948:CTQ720953 DDM720948:DDM720953 DNI720948:DNI720953 DXE720948:DXE720953 EHA720948:EHA720953 EQW720948:EQW720953 FAS720948:FAS720953 FKO720948:FKO720953 FUK720948:FUK720953 GEG720948:GEG720953 GOC720948:GOC720953 GXY720948:GXY720953 HHU720948:HHU720953 HRQ720948:HRQ720953 IBM720948:IBM720953 ILI720948:ILI720953 IVE720948:IVE720953 JFA720948:JFA720953 JOW720948:JOW720953 JYS720948:JYS720953 KIO720948:KIO720953 KSK720948:KSK720953 LCG720948:LCG720953 LMC720948:LMC720953 LVY720948:LVY720953 MFU720948:MFU720953 MPQ720948:MPQ720953 MZM720948:MZM720953 NJI720948:NJI720953 NTE720948:NTE720953 ODA720948:ODA720953 OMW720948:OMW720953 OWS720948:OWS720953 PGO720948:PGO720953 PQK720948:PQK720953 QAG720948:QAG720953 QKC720948:QKC720953 QTY720948:QTY720953 RDU720948:RDU720953 RNQ720948:RNQ720953 RXM720948:RXM720953 SHI720948:SHI720953 SRE720948:SRE720953 TBA720948:TBA720953 TKW720948:TKW720953 TUS720948:TUS720953 UEO720948:UEO720953 UOK720948:UOK720953 UYG720948:UYG720953 VIC720948:VIC720953 VRY720948:VRY720953 WBU720948:WBU720953 WLQ720948:WLQ720953 WVM720948:WVM720953 JA786467 SW786467 ACS786467 AMO786467 AWK786467 BGG786467 BQC786467 BZY786467 CJU786467 CTQ786467 DDM786467 DNI786467 DXE786467 EHA786467 EQW786467 FAS786467 FKO786467 FUK786467 GEG786467 GOC786467 GXY786467 HHU786467 HRQ786467 IBM786467 ILI786467 IVE786467 JFA786467 JOW786467 JYS786467 KIO786467 KSK786467 LCG786467 LMC786467 LVY786467 MFU786467 MPQ786467 MZM786467 NJI786467 NTE786467 ODA786467 OMW786467 OWS786467 PGO786467 PQK786467 QAG786467 QKC786467 QTY786467 RDU786467 RNQ786467 RXM786467 SHI786467 SRE786467 TBA786467 TKW786467 TUS786467 UEO786467 UOK786467 UYG786467 VIC786467 VRY786467 WBU786467 WLQ786467 WVM786467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JA786473 SW786473 ACS786473 AMO786473 AWK786473 BGG786473 BQC786473 BZY786473 CJU786473 CTQ786473 DDM786473 DNI786473 DXE786473 EHA786473 EQW786473 FAS786473 FKO786473 FUK786473 GEG786473 GOC786473 GXY786473 HHU786473 HRQ786473 IBM786473 ILI786473 IVE786473 JFA786473 JOW786473 JYS786473 KIO786473 KSK786473 LCG786473 LMC786473 LVY786473 MFU786473 MPQ786473 MZM786473 NJI786473 NTE786473 ODA786473 OMW786473 OWS786473 PGO786473 PQK786473 QAG786473 QKC786473 QTY786473 RDU786473 RNQ786473 RXM786473 SHI786473 SRE786473 TBA786473 TKW786473 TUS786473 UEO786473 UOK786473 UYG786473 VIC786473 VRY786473 WBU786473 WLQ786473 WVM786473 JA786475 SW786475 ACS786475 AMO786475 AWK786475 BGG786475 BQC786475 BZY786475 CJU786475 CTQ786475 DDM786475 DNI786475 DXE786475 EHA786475 EQW786475 FAS786475 FKO786475 FUK786475 GEG786475 GOC786475 GXY786475 HHU786475 HRQ786475 IBM786475 ILI786475 IVE786475 JFA786475 JOW786475 JYS786475 KIO786475 KSK786475 LCG786475 LMC786475 LVY786475 MFU786475 MPQ786475 MZM786475 NJI786475 NTE786475 ODA786475 OMW786475 OWS786475 PGO786475 PQK786475 QAG786475 QKC786475 QTY786475 RDU786475 RNQ786475 RXM786475 SHI786475 SRE786475 TBA786475 TKW786475 TUS786475 UEO786475 UOK786475 UYG786475 VIC786475 VRY786475 WBU786475 WLQ786475 WVM786475 JA786484:JA786489 SW786484:SW786489 ACS786484:ACS786489 AMO786484:AMO786489 AWK786484:AWK786489 BGG786484:BGG786489 BQC786484:BQC786489 BZY786484:BZY786489 CJU786484:CJU786489 CTQ786484:CTQ786489 DDM786484:DDM786489 DNI786484:DNI786489 DXE786484:DXE786489 EHA786484:EHA786489 EQW786484:EQW786489 FAS786484:FAS786489 FKO786484:FKO786489 FUK786484:FUK786489 GEG786484:GEG786489 GOC786484:GOC786489 GXY786484:GXY786489 HHU786484:HHU786489 HRQ786484:HRQ786489 IBM786484:IBM786489 ILI786484:ILI786489 IVE786484:IVE786489 JFA786484:JFA786489 JOW786484:JOW786489 JYS786484:JYS786489 KIO786484:KIO786489 KSK786484:KSK786489 LCG786484:LCG786489 LMC786484:LMC786489 LVY786484:LVY786489 MFU786484:MFU786489 MPQ786484:MPQ786489 MZM786484:MZM786489 NJI786484:NJI786489 NTE786484:NTE786489 ODA786484:ODA786489 OMW786484:OMW786489 OWS786484:OWS786489 PGO786484:PGO786489 PQK786484:PQK786489 QAG786484:QAG786489 QKC786484:QKC786489 QTY786484:QTY786489 RDU786484:RDU786489 RNQ786484:RNQ786489 RXM786484:RXM786489 SHI786484:SHI786489 SRE786484:SRE786489 TBA786484:TBA786489 TKW786484:TKW786489 TUS786484:TUS786489 UEO786484:UEO786489 UOK786484:UOK786489 UYG786484:UYG786489 VIC786484:VIC786489 VRY786484:VRY786489 WBU786484:WBU786489 WLQ786484:WLQ786489 WVM786484:WVM786489 JA852003 SW852003 ACS852003 AMO852003 AWK852003 BGG852003 BQC852003 BZY852003 CJU852003 CTQ852003 DDM852003 DNI852003 DXE852003 EHA852003 EQW852003 FAS852003 FKO852003 FUK852003 GEG852003 GOC852003 GXY852003 HHU852003 HRQ852003 IBM852003 ILI852003 IVE852003 JFA852003 JOW852003 JYS852003 KIO852003 KSK852003 LCG852003 LMC852003 LVY852003 MFU852003 MPQ852003 MZM852003 NJI852003 NTE852003 ODA852003 OMW852003 OWS852003 PGO852003 PQK852003 QAG852003 QKC852003 QTY852003 RDU852003 RNQ852003 RXM852003 SHI852003 SRE852003 TBA852003 TKW852003 TUS852003 UEO852003 UOK852003 UYG852003 VIC852003 VRY852003 WBU852003 WLQ852003 WVM852003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JA852009 SW852009 ACS852009 AMO852009 AWK852009 BGG852009 BQC852009 BZY852009 CJU852009 CTQ852009 DDM852009 DNI852009 DXE852009 EHA852009 EQW852009 FAS852009 FKO852009 FUK852009 GEG852009 GOC852009 GXY852009 HHU852009 HRQ852009 IBM852009 ILI852009 IVE852009 JFA852009 JOW852009 JYS852009 KIO852009 KSK852009 LCG852009 LMC852009 LVY852009 MFU852009 MPQ852009 MZM852009 NJI852009 NTE852009 ODA852009 OMW852009 OWS852009 PGO852009 PQK852009 QAG852009 QKC852009 QTY852009 RDU852009 RNQ852009 RXM852009 SHI852009 SRE852009 TBA852009 TKW852009 TUS852009 UEO852009 UOK852009 UYG852009 VIC852009 VRY852009 WBU852009 WLQ852009 WVM852009 JA852011 SW852011 ACS852011 AMO852011 AWK852011 BGG852011 BQC852011 BZY852011 CJU852011 CTQ852011 DDM852011 DNI852011 DXE852011 EHA852011 EQW852011 FAS852011 FKO852011 FUK852011 GEG852011 GOC852011 GXY852011 HHU852011 HRQ852011 IBM852011 ILI852011 IVE852011 JFA852011 JOW852011 JYS852011 KIO852011 KSK852011 LCG852011 LMC852011 LVY852011 MFU852011 MPQ852011 MZM852011 NJI852011 NTE852011 ODA852011 OMW852011 OWS852011 PGO852011 PQK852011 QAG852011 QKC852011 QTY852011 RDU852011 RNQ852011 RXM852011 SHI852011 SRE852011 TBA852011 TKW852011 TUS852011 UEO852011 UOK852011 UYG852011 VIC852011 VRY852011 WBU852011 WLQ852011 WVM852011 JA852020:JA852025 SW852020:SW852025 ACS852020:ACS852025 AMO852020:AMO852025 AWK852020:AWK852025 BGG852020:BGG852025 BQC852020:BQC852025 BZY852020:BZY852025 CJU852020:CJU852025 CTQ852020:CTQ852025 DDM852020:DDM852025 DNI852020:DNI852025 DXE852020:DXE852025 EHA852020:EHA852025 EQW852020:EQW852025 FAS852020:FAS852025 FKO852020:FKO852025 FUK852020:FUK852025 GEG852020:GEG852025 GOC852020:GOC852025 GXY852020:GXY852025 HHU852020:HHU852025 HRQ852020:HRQ852025 IBM852020:IBM852025 ILI852020:ILI852025 IVE852020:IVE852025 JFA852020:JFA852025 JOW852020:JOW852025 JYS852020:JYS852025 KIO852020:KIO852025 KSK852020:KSK852025 LCG852020:LCG852025 LMC852020:LMC852025 LVY852020:LVY852025 MFU852020:MFU852025 MPQ852020:MPQ852025 MZM852020:MZM852025 NJI852020:NJI852025 NTE852020:NTE852025 ODA852020:ODA852025 OMW852020:OMW852025 OWS852020:OWS852025 PGO852020:PGO852025 PQK852020:PQK852025 QAG852020:QAG852025 QKC852020:QKC852025 QTY852020:QTY852025 RDU852020:RDU852025 RNQ852020:RNQ852025 RXM852020:RXM852025 SHI852020:SHI852025 SRE852020:SRE852025 TBA852020:TBA852025 TKW852020:TKW852025 TUS852020:TUS852025 UEO852020:UEO852025 UOK852020:UOK852025 UYG852020:UYG852025 VIC852020:VIC852025 VRY852020:VRY852025 WBU852020:WBU852025 WLQ852020:WLQ852025 WVM852020:WVM852025 JA917539 SW917539 ACS917539 AMO917539 AWK917539 BGG917539 BQC917539 BZY917539 CJU917539 CTQ917539 DDM917539 DNI917539 DXE917539 EHA917539 EQW917539 FAS917539 FKO917539 FUK917539 GEG917539 GOC917539 GXY917539 HHU917539 HRQ917539 IBM917539 ILI917539 IVE917539 JFA917539 JOW917539 JYS917539 KIO917539 KSK917539 LCG917539 LMC917539 LVY917539 MFU917539 MPQ917539 MZM917539 NJI917539 NTE917539 ODA917539 OMW917539 OWS917539 PGO917539 PQK917539 QAG917539 QKC917539 QTY917539 RDU917539 RNQ917539 RXM917539 SHI917539 SRE917539 TBA917539 TKW917539 TUS917539 UEO917539 UOK917539 UYG917539 VIC917539 VRY917539 WBU917539 WLQ917539 WVM917539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JA917545 SW917545 ACS917545 AMO917545 AWK917545 BGG917545 BQC917545 BZY917545 CJU917545 CTQ917545 DDM917545 DNI917545 DXE917545 EHA917545 EQW917545 FAS917545 FKO917545 FUK917545 GEG917545 GOC917545 GXY917545 HHU917545 HRQ917545 IBM917545 ILI917545 IVE917545 JFA917545 JOW917545 JYS917545 KIO917545 KSK917545 LCG917545 LMC917545 LVY917545 MFU917545 MPQ917545 MZM917545 NJI917545 NTE917545 ODA917545 OMW917545 OWS917545 PGO917545 PQK917545 QAG917545 QKC917545 QTY917545 RDU917545 RNQ917545 RXM917545 SHI917545 SRE917545 TBA917545 TKW917545 TUS917545 UEO917545 UOK917545 UYG917545 VIC917545 VRY917545 WBU917545 WLQ917545 WVM917545 JA917547 SW917547 ACS917547 AMO917547 AWK917547 BGG917547 BQC917547 BZY917547 CJU917547 CTQ917547 DDM917547 DNI917547 DXE917547 EHA917547 EQW917547 FAS917547 FKO917547 FUK917547 GEG917547 GOC917547 GXY917547 HHU917547 HRQ917547 IBM917547 ILI917547 IVE917547 JFA917547 JOW917547 JYS917547 KIO917547 KSK917547 LCG917547 LMC917547 LVY917547 MFU917547 MPQ917547 MZM917547 NJI917547 NTE917547 ODA917547 OMW917547 OWS917547 PGO917547 PQK917547 QAG917547 QKC917547 QTY917547 RDU917547 RNQ917547 RXM917547 SHI917547 SRE917547 TBA917547 TKW917547 TUS917547 UEO917547 UOK917547 UYG917547 VIC917547 VRY917547 WBU917547 WLQ917547 WVM917547 JA917556:JA917561 SW917556:SW917561 ACS917556:ACS917561 AMO917556:AMO917561 AWK917556:AWK917561 BGG917556:BGG917561 BQC917556:BQC917561 BZY917556:BZY917561 CJU917556:CJU917561 CTQ917556:CTQ917561 DDM917556:DDM917561 DNI917556:DNI917561 DXE917556:DXE917561 EHA917556:EHA917561 EQW917556:EQW917561 FAS917556:FAS917561 FKO917556:FKO917561 FUK917556:FUK917561 GEG917556:GEG917561 GOC917556:GOC917561 GXY917556:GXY917561 HHU917556:HHU917561 HRQ917556:HRQ917561 IBM917556:IBM917561 ILI917556:ILI917561 IVE917556:IVE917561 JFA917556:JFA917561 JOW917556:JOW917561 JYS917556:JYS917561 KIO917556:KIO917561 KSK917556:KSK917561 LCG917556:LCG917561 LMC917556:LMC917561 LVY917556:LVY917561 MFU917556:MFU917561 MPQ917556:MPQ917561 MZM917556:MZM917561 NJI917556:NJI917561 NTE917556:NTE917561 ODA917556:ODA917561 OMW917556:OMW917561 OWS917556:OWS917561 PGO917556:PGO917561 PQK917556:PQK917561 QAG917556:QAG917561 QKC917556:QKC917561 QTY917556:QTY917561 RDU917556:RDU917561 RNQ917556:RNQ917561 RXM917556:RXM917561 SHI917556:SHI917561 SRE917556:SRE917561 TBA917556:TBA917561 TKW917556:TKW917561 TUS917556:TUS917561 UEO917556:UEO917561 UOK917556:UOK917561 UYG917556:UYG917561 VIC917556:VIC917561 VRY917556:VRY917561 WBU917556:WBU917561 WLQ917556:WLQ917561 WVM917556:WVM917561 JA983075 SW983075 ACS983075 AMO983075 AWK983075 BGG983075 BQC983075 BZY983075 CJU983075 CTQ983075 DDM983075 DNI983075 DXE983075 EHA983075 EQW983075 FAS983075 FKO983075 FUK983075 GEG983075 GOC983075 GXY983075 HHU983075 HRQ983075 IBM983075 ILI983075 IVE983075 JFA983075 JOW983075 JYS983075 KIO983075 KSK983075 LCG983075 LMC983075 LVY983075 MFU983075 MPQ983075 MZM983075 NJI983075 NTE983075 ODA983075 OMW983075 OWS983075 PGO983075 PQK983075 QAG983075 QKC983075 QTY983075 RDU983075 RNQ983075 RXM983075 SHI983075 SRE983075 TBA983075 TKW983075 TUS983075 UEO983075 UOK983075 UYG983075 VIC983075 VRY983075 WBU983075 WLQ983075 WVM983075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JA983081 SW983081 ACS983081 AMO983081 AWK983081 BGG983081 BQC983081 BZY983081 CJU983081 CTQ983081 DDM983081 DNI983081 DXE983081 EHA983081 EQW983081 FAS983081 FKO983081 FUK983081 GEG983081 GOC983081 GXY983081 HHU983081 HRQ983081 IBM983081 ILI983081 IVE983081 JFA983081 JOW983081 JYS983081 KIO983081 KSK983081 LCG983081 LMC983081 LVY983081 MFU983081 MPQ983081 MZM983081 NJI983081 NTE983081 ODA983081 OMW983081 OWS983081 PGO983081 PQK983081 QAG983081 QKC983081 QTY983081 RDU983081 RNQ983081 RXM983081 SHI983081 SRE983081 TBA983081 TKW983081 TUS983081 UEO983081 UOK983081 UYG983081 VIC983081 VRY983081 WBU983081 WLQ983081 WVM983081 JA983083 SW983083 ACS983083 AMO983083 AWK983083 BGG983083 BQC983083 BZY983083 CJU983083 CTQ983083 DDM983083 DNI983083 DXE983083 EHA983083 EQW983083 FAS983083 FKO983083 FUK983083 GEG983083 GOC983083 GXY983083 HHU983083 HRQ983083 IBM983083 ILI983083 IVE983083 JFA983083 JOW983083 JYS983083 KIO983083 KSK983083 LCG983083 LMC983083 LVY983083 MFU983083 MPQ983083 MZM983083 NJI983083 NTE983083 ODA983083 OMW983083 OWS983083 PGO983083 PQK983083 QAG983083 QKC983083 QTY983083 RDU983083 RNQ983083 RXM983083 SHI983083 SRE983083 TBA983083 TKW983083 TUS983083 UEO983083 UOK983083 UYG983083 VIC983083 VRY983083 WBU983083 WLQ983083 WVM983083 JA983092:JA983097 SW983092:SW983097 ACS983092:ACS983097 AMO983092:AMO983097 AWK983092:AWK983097 BGG983092:BGG983097 BQC983092:BQC983097 BZY983092:BZY983097 CJU983092:CJU983097 CTQ983092:CTQ983097 DDM983092:DDM983097 DNI983092:DNI983097 DXE983092:DXE983097 EHA983092:EHA983097 EQW983092:EQW983097 FAS983092:FAS983097 FKO983092:FKO983097 FUK983092:FUK983097 GEG983092:GEG983097 GOC983092:GOC983097 GXY983092:GXY983097 HHU983092:HHU983097 HRQ983092:HRQ983097 IBM983092:IBM983097 ILI983092:ILI983097 IVE983092:IVE983097 JFA983092:JFA983097 JOW983092:JOW983097 JYS983092:JYS983097 KIO983092:KIO983097 KSK983092:KSK983097 LCG983092:LCG983097 LMC983092:LMC983097 LVY983092:LVY983097 MFU983092:MFU983097 MPQ983092:MPQ983097 MZM983092:MZM983097 NJI983092:NJI983097 NTE983092:NTE983097 ODA983092:ODA983097 OMW983092:OMW983097 OWS983092:OWS983097 PGO983092:PGO983097 PQK983092:PQK983097 QAG983092:QAG983097 QKC983092:QKC983097 QTY983092:QTY983097 RDU983092:RDU983097 RNQ983092:RNQ983097 RXM983092:RXM983097 SHI983092:SHI983097 SRE983092:SRE983097 TBA983092:TBA983097 TKW983092:TKW983097 TUS983092:TUS983097 UEO983092:UEO983097 UOK983092:UOK983097 UYG983092:UYG983097 VIC983092:VIC983097 VRY983092:VRY983097 WBU983092:WBU983097 WLQ983092:WLQ983097 WVM983092:WVM983097 JA108:JA110 JA65563:JA65565 JA65568:JA65569 JA65643:JA65646 JA131099:JA131101 JA131104:JA131105 JA131179:JA131182 JA196635:JA196637 JA196640:JA196641 JA196715:JA196718 JA262171:JA262173 JA262176:JA262177 JA262251:JA262254 JA327707:JA327709 JA327712:JA327713 JA327787:JA327790 JA393243:JA393245 JA393248:JA393249 JA393323:JA393326 JA458779:JA458781 JA458784:JA458785 JA458859:JA458862 JA524315:JA524317 JA524320:JA524321 JA524395:JA524398 JA589851:JA589853 JA589856:JA589857 JA589931:JA589934 JA655387:JA655389 JA655392:JA655393 JA655467:JA655470 JA720923:JA720925 JA720928:JA720929 JA721003:JA721006 JA786459:JA786461 JA786464:JA786465 JA786539:JA786542 JA851995:JA851997 JA852000:JA852001 JA852075:JA852078 JA917531:JA917533 JA917536:JA917537 JA917611:JA917614 JA983067:JA983069 JA983072:JA983073 JA983147:JA983150 SW108:SW110 SW65563:SW65565 SW65568:SW65569 SW65643:SW65646 SW131099:SW131101 SW131104:SW131105 SW131179:SW131182 SW196635:SW196637 SW196640:SW196641 SW196715:SW196718 SW262171:SW262173 SW262176:SW262177 SW262251:SW262254 SW327707:SW327709 SW327712:SW327713 SW327787:SW327790 SW393243:SW393245 SW393248:SW393249 SW393323:SW393326 SW458779:SW458781 SW458784:SW458785 SW458859:SW458862 SW524315:SW524317 SW524320:SW524321 SW524395:SW524398 SW589851:SW589853 SW589856:SW589857 SW589931:SW589934 SW655387:SW655389 SW655392:SW655393 SW655467:SW655470 SW720923:SW720925 SW720928:SW720929 SW721003:SW721006 SW786459:SW786461 SW786464:SW786465 SW786539:SW786542 SW851995:SW851997 SW852000:SW852001 SW852075:SW852078 SW917531:SW917533 SW917536:SW917537 SW917611:SW917614 SW983067:SW983069 SW983072:SW983073 SW983147:SW983150 ACS108:ACS110 ACS65563:ACS65565 ACS65568:ACS65569 ACS65643:ACS65646 ACS131099:ACS131101 ACS131104:ACS131105 ACS131179:ACS131182 ACS196635:ACS196637 ACS196640:ACS196641 ACS196715:ACS196718 ACS262171:ACS262173 ACS262176:ACS262177 ACS262251:ACS262254 ACS327707:ACS327709 ACS327712:ACS327713 ACS327787:ACS327790 ACS393243:ACS393245 ACS393248:ACS393249 ACS393323:ACS393326 ACS458779:ACS458781 ACS458784:ACS458785 ACS458859:ACS458862 ACS524315:ACS524317 ACS524320:ACS524321 ACS524395:ACS524398 ACS589851:ACS589853 ACS589856:ACS589857 ACS589931:ACS589934 ACS655387:ACS655389 ACS655392:ACS655393 ACS655467:ACS655470 ACS720923:ACS720925 ACS720928:ACS720929 ACS721003:ACS721006 ACS786459:ACS786461 ACS786464:ACS786465 ACS786539:ACS786542 ACS851995:ACS851997 ACS852000:ACS852001 ACS852075:ACS852078 ACS917531:ACS917533 ACS917536:ACS917537 ACS917611:ACS917614 ACS983067:ACS983069 ACS983072:ACS983073 ACS983147:ACS983150 AMO108:AMO110 AMO65563:AMO65565 AMO65568:AMO65569 AMO65643:AMO65646 AMO131099:AMO131101 AMO131104:AMO131105 AMO131179:AMO131182 AMO196635:AMO196637 AMO196640:AMO196641 AMO196715:AMO196718 AMO262171:AMO262173 AMO262176:AMO262177 AMO262251:AMO262254 AMO327707:AMO327709 AMO327712:AMO327713 AMO327787:AMO327790 AMO393243:AMO393245 AMO393248:AMO393249 AMO393323:AMO393326 AMO458779:AMO458781 AMO458784:AMO458785 AMO458859:AMO458862 AMO524315:AMO524317 AMO524320:AMO524321 AMO524395:AMO524398 AMO589851:AMO589853 AMO589856:AMO589857 AMO589931:AMO589934 AMO655387:AMO655389 AMO655392:AMO655393 AMO655467:AMO655470 AMO720923:AMO720925 AMO720928:AMO720929 AMO721003:AMO721006 AMO786459:AMO786461 AMO786464:AMO786465 AMO786539:AMO786542 AMO851995:AMO851997 AMO852000:AMO852001 AMO852075:AMO852078 AMO917531:AMO917533 AMO917536:AMO917537 AMO917611:AMO917614 AMO983067:AMO983069 AMO983072:AMO983073 AMO983147:AMO983150 AWK108:AWK110 AWK65563:AWK65565 AWK65568:AWK65569 AWK65643:AWK65646 AWK131099:AWK131101 AWK131104:AWK131105 AWK131179:AWK131182 AWK196635:AWK196637 AWK196640:AWK196641 AWK196715:AWK196718 AWK262171:AWK262173 AWK262176:AWK262177 AWK262251:AWK262254 AWK327707:AWK327709 AWK327712:AWK327713 AWK327787:AWK327790 AWK393243:AWK393245 AWK393248:AWK393249 AWK393323:AWK393326 AWK458779:AWK458781 AWK458784:AWK458785 AWK458859:AWK458862 AWK524315:AWK524317 AWK524320:AWK524321 AWK524395:AWK524398 AWK589851:AWK589853 AWK589856:AWK589857 AWK589931:AWK589934 AWK655387:AWK655389 AWK655392:AWK655393 AWK655467:AWK655470 AWK720923:AWK720925 AWK720928:AWK720929 AWK721003:AWK721006 AWK786459:AWK786461 AWK786464:AWK786465 AWK786539:AWK786542 AWK851995:AWK851997 AWK852000:AWK852001 AWK852075:AWK852078 AWK917531:AWK917533 AWK917536:AWK917537 AWK917611:AWK917614 AWK983067:AWK983069 AWK983072:AWK983073 AWK983147:AWK983150 BGG108:BGG110 BGG65563:BGG65565 BGG65568:BGG65569 BGG65643:BGG65646 BGG131099:BGG131101 BGG131104:BGG131105 BGG131179:BGG131182 BGG196635:BGG196637 BGG196640:BGG196641 BGG196715:BGG196718 BGG262171:BGG262173 BGG262176:BGG262177 BGG262251:BGG262254 BGG327707:BGG327709 BGG327712:BGG327713 BGG327787:BGG327790 BGG393243:BGG393245 BGG393248:BGG393249 BGG393323:BGG393326 BGG458779:BGG458781 BGG458784:BGG458785 BGG458859:BGG458862 BGG524315:BGG524317 BGG524320:BGG524321 BGG524395:BGG524398 BGG589851:BGG589853 BGG589856:BGG589857 BGG589931:BGG589934 BGG655387:BGG655389 BGG655392:BGG655393 BGG655467:BGG655470 BGG720923:BGG720925 BGG720928:BGG720929 BGG721003:BGG721006 BGG786459:BGG786461 BGG786464:BGG786465 BGG786539:BGG786542 BGG851995:BGG851997 BGG852000:BGG852001 BGG852075:BGG852078 BGG917531:BGG917533 BGG917536:BGG917537 BGG917611:BGG917614 BGG983067:BGG983069 BGG983072:BGG983073 BGG983147:BGG983150 BQC108:BQC110 BQC65563:BQC65565 BQC65568:BQC65569 BQC65643:BQC65646 BQC131099:BQC131101 BQC131104:BQC131105 BQC131179:BQC131182 BQC196635:BQC196637 BQC196640:BQC196641 BQC196715:BQC196718 BQC262171:BQC262173 BQC262176:BQC262177 BQC262251:BQC262254 BQC327707:BQC327709 BQC327712:BQC327713 BQC327787:BQC327790 BQC393243:BQC393245 BQC393248:BQC393249 BQC393323:BQC393326 BQC458779:BQC458781 BQC458784:BQC458785 BQC458859:BQC458862 BQC524315:BQC524317 BQC524320:BQC524321 BQC524395:BQC524398 BQC589851:BQC589853 BQC589856:BQC589857 BQC589931:BQC589934 BQC655387:BQC655389 BQC655392:BQC655393 BQC655467:BQC655470 BQC720923:BQC720925 BQC720928:BQC720929 BQC721003:BQC721006 BQC786459:BQC786461 BQC786464:BQC786465 BQC786539:BQC786542 BQC851995:BQC851997 BQC852000:BQC852001 BQC852075:BQC852078 BQC917531:BQC917533 BQC917536:BQC917537 BQC917611:BQC917614 BQC983067:BQC983069 BQC983072:BQC983073 BQC983147:BQC983150 BZY108:BZY110 BZY65563:BZY65565 BZY65568:BZY65569 BZY65643:BZY65646 BZY131099:BZY131101 BZY131104:BZY131105 BZY131179:BZY131182 BZY196635:BZY196637 BZY196640:BZY196641 BZY196715:BZY196718 BZY262171:BZY262173 BZY262176:BZY262177 BZY262251:BZY262254 BZY327707:BZY327709 BZY327712:BZY327713 BZY327787:BZY327790 BZY393243:BZY393245 BZY393248:BZY393249 BZY393323:BZY393326 BZY458779:BZY458781 BZY458784:BZY458785 BZY458859:BZY458862 BZY524315:BZY524317 BZY524320:BZY524321 BZY524395:BZY524398 BZY589851:BZY589853 BZY589856:BZY589857 BZY589931:BZY589934 BZY655387:BZY655389 BZY655392:BZY655393 BZY655467:BZY655470 BZY720923:BZY720925 BZY720928:BZY720929 BZY721003:BZY721006 BZY786459:BZY786461 BZY786464:BZY786465 BZY786539:BZY786542 BZY851995:BZY851997 BZY852000:BZY852001 BZY852075:BZY852078 BZY917531:BZY917533 BZY917536:BZY917537 BZY917611:BZY917614 BZY983067:BZY983069 BZY983072:BZY983073 BZY983147:BZY983150 CJU108:CJU110 CJU65563:CJU65565 CJU65568:CJU65569 CJU65643:CJU65646 CJU131099:CJU131101 CJU131104:CJU131105 CJU131179:CJU131182 CJU196635:CJU196637 CJU196640:CJU196641 CJU196715:CJU196718 CJU262171:CJU262173 CJU262176:CJU262177 CJU262251:CJU262254 CJU327707:CJU327709 CJU327712:CJU327713 CJU327787:CJU327790 CJU393243:CJU393245 CJU393248:CJU393249 CJU393323:CJU393326 CJU458779:CJU458781 CJU458784:CJU458785 CJU458859:CJU458862 CJU524315:CJU524317 CJU524320:CJU524321 CJU524395:CJU524398 CJU589851:CJU589853 CJU589856:CJU589857 CJU589931:CJU589934 CJU655387:CJU655389 CJU655392:CJU655393 CJU655467:CJU655470 CJU720923:CJU720925 CJU720928:CJU720929 CJU721003:CJU721006 CJU786459:CJU786461 CJU786464:CJU786465 CJU786539:CJU786542 CJU851995:CJU851997 CJU852000:CJU852001 CJU852075:CJU852078 CJU917531:CJU917533 CJU917536:CJU917537 CJU917611:CJU917614 CJU983067:CJU983069 CJU983072:CJU983073 CJU983147:CJU983150 CTQ108:CTQ110 CTQ65563:CTQ65565 CTQ65568:CTQ65569 CTQ65643:CTQ65646 CTQ131099:CTQ131101 CTQ131104:CTQ131105 CTQ131179:CTQ131182 CTQ196635:CTQ196637 CTQ196640:CTQ196641 CTQ196715:CTQ196718 CTQ262171:CTQ262173 CTQ262176:CTQ262177 CTQ262251:CTQ262254 CTQ327707:CTQ327709 CTQ327712:CTQ327713 CTQ327787:CTQ327790 CTQ393243:CTQ393245 CTQ393248:CTQ393249 CTQ393323:CTQ393326 CTQ458779:CTQ458781 CTQ458784:CTQ458785 CTQ458859:CTQ458862 CTQ524315:CTQ524317 CTQ524320:CTQ524321 CTQ524395:CTQ524398 CTQ589851:CTQ589853 CTQ589856:CTQ589857 CTQ589931:CTQ589934 CTQ655387:CTQ655389 CTQ655392:CTQ655393 CTQ655467:CTQ655470 CTQ720923:CTQ720925 CTQ720928:CTQ720929 CTQ721003:CTQ721006 CTQ786459:CTQ786461 CTQ786464:CTQ786465 CTQ786539:CTQ786542 CTQ851995:CTQ851997 CTQ852000:CTQ852001 CTQ852075:CTQ852078 CTQ917531:CTQ917533 CTQ917536:CTQ917537 CTQ917611:CTQ917614 CTQ983067:CTQ983069 CTQ983072:CTQ983073 CTQ983147:CTQ983150 DDM108:DDM110 DDM65563:DDM65565 DDM65568:DDM65569 DDM65643:DDM65646 DDM131099:DDM131101 DDM131104:DDM131105 DDM131179:DDM131182 DDM196635:DDM196637 DDM196640:DDM196641 DDM196715:DDM196718 DDM262171:DDM262173 DDM262176:DDM262177 DDM262251:DDM262254 DDM327707:DDM327709 DDM327712:DDM327713 DDM327787:DDM327790 DDM393243:DDM393245 DDM393248:DDM393249 DDM393323:DDM393326 DDM458779:DDM458781 DDM458784:DDM458785 DDM458859:DDM458862 DDM524315:DDM524317 DDM524320:DDM524321 DDM524395:DDM524398 DDM589851:DDM589853 DDM589856:DDM589857 DDM589931:DDM589934 DDM655387:DDM655389 DDM655392:DDM655393 DDM655467:DDM655470 DDM720923:DDM720925 DDM720928:DDM720929 DDM721003:DDM721006 DDM786459:DDM786461 DDM786464:DDM786465 DDM786539:DDM786542 DDM851995:DDM851997 DDM852000:DDM852001 DDM852075:DDM852078 DDM917531:DDM917533 DDM917536:DDM917537 DDM917611:DDM917614 DDM983067:DDM983069 DDM983072:DDM983073 DDM983147:DDM983150 DNI108:DNI110 DNI65563:DNI65565 DNI65568:DNI65569 DNI65643:DNI65646 DNI131099:DNI131101 DNI131104:DNI131105 DNI131179:DNI131182 DNI196635:DNI196637 DNI196640:DNI196641 DNI196715:DNI196718 DNI262171:DNI262173 DNI262176:DNI262177 DNI262251:DNI262254 DNI327707:DNI327709 DNI327712:DNI327713 DNI327787:DNI327790 DNI393243:DNI393245 DNI393248:DNI393249 DNI393323:DNI393326 DNI458779:DNI458781 DNI458784:DNI458785 DNI458859:DNI458862 DNI524315:DNI524317 DNI524320:DNI524321 DNI524395:DNI524398 DNI589851:DNI589853 DNI589856:DNI589857 DNI589931:DNI589934 DNI655387:DNI655389 DNI655392:DNI655393 DNI655467:DNI655470 DNI720923:DNI720925 DNI720928:DNI720929 DNI721003:DNI721006 DNI786459:DNI786461 DNI786464:DNI786465 DNI786539:DNI786542 DNI851995:DNI851997 DNI852000:DNI852001 DNI852075:DNI852078 DNI917531:DNI917533 DNI917536:DNI917537 DNI917611:DNI917614 DNI983067:DNI983069 DNI983072:DNI983073 DNI983147:DNI983150 DXE108:DXE110 DXE65563:DXE65565 DXE65568:DXE65569 DXE65643:DXE65646 DXE131099:DXE131101 DXE131104:DXE131105 DXE131179:DXE131182 DXE196635:DXE196637 DXE196640:DXE196641 DXE196715:DXE196718 DXE262171:DXE262173 DXE262176:DXE262177 DXE262251:DXE262254 DXE327707:DXE327709 DXE327712:DXE327713 DXE327787:DXE327790 DXE393243:DXE393245 DXE393248:DXE393249 DXE393323:DXE393326 DXE458779:DXE458781 DXE458784:DXE458785 DXE458859:DXE458862 DXE524315:DXE524317 DXE524320:DXE524321 DXE524395:DXE524398 DXE589851:DXE589853 DXE589856:DXE589857 DXE589931:DXE589934 DXE655387:DXE655389 DXE655392:DXE655393 DXE655467:DXE655470 DXE720923:DXE720925 DXE720928:DXE720929 DXE721003:DXE721006 DXE786459:DXE786461 DXE786464:DXE786465 DXE786539:DXE786542 DXE851995:DXE851997 DXE852000:DXE852001 DXE852075:DXE852078 DXE917531:DXE917533 DXE917536:DXE917537 DXE917611:DXE917614 DXE983067:DXE983069 DXE983072:DXE983073 DXE983147:DXE983150 EHA108:EHA110 EHA65563:EHA65565 EHA65568:EHA65569 EHA65643:EHA65646 EHA131099:EHA131101 EHA131104:EHA131105 EHA131179:EHA131182 EHA196635:EHA196637 EHA196640:EHA196641 EHA196715:EHA196718 EHA262171:EHA262173 EHA262176:EHA262177 EHA262251:EHA262254 EHA327707:EHA327709 EHA327712:EHA327713 EHA327787:EHA327790 EHA393243:EHA393245 EHA393248:EHA393249 EHA393323:EHA393326 EHA458779:EHA458781 EHA458784:EHA458785 EHA458859:EHA458862 EHA524315:EHA524317 EHA524320:EHA524321 EHA524395:EHA524398 EHA589851:EHA589853 EHA589856:EHA589857 EHA589931:EHA589934 EHA655387:EHA655389 EHA655392:EHA655393 EHA655467:EHA655470 EHA720923:EHA720925 EHA720928:EHA720929 EHA721003:EHA721006 EHA786459:EHA786461 EHA786464:EHA786465 EHA786539:EHA786542 EHA851995:EHA851997 EHA852000:EHA852001 EHA852075:EHA852078 EHA917531:EHA917533 EHA917536:EHA917537 EHA917611:EHA917614 EHA983067:EHA983069 EHA983072:EHA983073 EHA983147:EHA983150 EQW108:EQW110 EQW65563:EQW65565 EQW65568:EQW65569 EQW65643:EQW65646 EQW131099:EQW131101 EQW131104:EQW131105 EQW131179:EQW131182 EQW196635:EQW196637 EQW196640:EQW196641 EQW196715:EQW196718 EQW262171:EQW262173 EQW262176:EQW262177 EQW262251:EQW262254 EQW327707:EQW327709 EQW327712:EQW327713 EQW327787:EQW327790 EQW393243:EQW393245 EQW393248:EQW393249 EQW393323:EQW393326 EQW458779:EQW458781 EQW458784:EQW458785 EQW458859:EQW458862 EQW524315:EQW524317 EQW524320:EQW524321 EQW524395:EQW524398 EQW589851:EQW589853 EQW589856:EQW589857 EQW589931:EQW589934 EQW655387:EQW655389 EQW655392:EQW655393 EQW655467:EQW655470 EQW720923:EQW720925 EQW720928:EQW720929 EQW721003:EQW721006 EQW786459:EQW786461 EQW786464:EQW786465 EQW786539:EQW786542 EQW851995:EQW851997 EQW852000:EQW852001 EQW852075:EQW852078 EQW917531:EQW917533 EQW917536:EQW917537 EQW917611:EQW917614 EQW983067:EQW983069 EQW983072:EQW983073 EQW983147:EQW983150 FAS108:FAS110 FAS65563:FAS65565 FAS65568:FAS65569 FAS65643:FAS65646 FAS131099:FAS131101 FAS131104:FAS131105 FAS131179:FAS131182 FAS196635:FAS196637 FAS196640:FAS196641 FAS196715:FAS196718 FAS262171:FAS262173 FAS262176:FAS262177 FAS262251:FAS262254 FAS327707:FAS327709 FAS327712:FAS327713 FAS327787:FAS327790 FAS393243:FAS393245 FAS393248:FAS393249 FAS393323:FAS393326 FAS458779:FAS458781 FAS458784:FAS458785 FAS458859:FAS458862 FAS524315:FAS524317 FAS524320:FAS524321 FAS524395:FAS524398 FAS589851:FAS589853 FAS589856:FAS589857 FAS589931:FAS589934 FAS655387:FAS655389 FAS655392:FAS655393 FAS655467:FAS655470 FAS720923:FAS720925 FAS720928:FAS720929 FAS721003:FAS721006 FAS786459:FAS786461 FAS786464:FAS786465 FAS786539:FAS786542 FAS851995:FAS851997 FAS852000:FAS852001 FAS852075:FAS852078 FAS917531:FAS917533 FAS917536:FAS917537 FAS917611:FAS917614 FAS983067:FAS983069 FAS983072:FAS983073 FAS983147:FAS983150 FKO108:FKO110 FKO65563:FKO65565 FKO65568:FKO65569 FKO65643:FKO65646 FKO131099:FKO131101 FKO131104:FKO131105 FKO131179:FKO131182 FKO196635:FKO196637 FKO196640:FKO196641 FKO196715:FKO196718 FKO262171:FKO262173 FKO262176:FKO262177 FKO262251:FKO262254 FKO327707:FKO327709 FKO327712:FKO327713 FKO327787:FKO327790 FKO393243:FKO393245 FKO393248:FKO393249 FKO393323:FKO393326 FKO458779:FKO458781 FKO458784:FKO458785 FKO458859:FKO458862 FKO524315:FKO524317 FKO524320:FKO524321 FKO524395:FKO524398 FKO589851:FKO589853 FKO589856:FKO589857 FKO589931:FKO589934 FKO655387:FKO655389 FKO655392:FKO655393 FKO655467:FKO655470 FKO720923:FKO720925 FKO720928:FKO720929 FKO721003:FKO721006 FKO786459:FKO786461 FKO786464:FKO786465 FKO786539:FKO786542 FKO851995:FKO851997 FKO852000:FKO852001 FKO852075:FKO852078 FKO917531:FKO917533 FKO917536:FKO917537 FKO917611:FKO917614 FKO983067:FKO983069 FKO983072:FKO983073 FKO983147:FKO983150 FUK108:FUK110 FUK65563:FUK65565 FUK65568:FUK65569 FUK65643:FUK65646 FUK131099:FUK131101 FUK131104:FUK131105 FUK131179:FUK131182 FUK196635:FUK196637 FUK196640:FUK196641 FUK196715:FUK196718 FUK262171:FUK262173 FUK262176:FUK262177 FUK262251:FUK262254 FUK327707:FUK327709 FUK327712:FUK327713 FUK327787:FUK327790 FUK393243:FUK393245 FUK393248:FUK393249 FUK393323:FUK393326 FUK458779:FUK458781 FUK458784:FUK458785 FUK458859:FUK458862 FUK524315:FUK524317 FUK524320:FUK524321 FUK524395:FUK524398 FUK589851:FUK589853 FUK589856:FUK589857 FUK589931:FUK589934 FUK655387:FUK655389 FUK655392:FUK655393 FUK655467:FUK655470 FUK720923:FUK720925 FUK720928:FUK720929 FUK721003:FUK721006 FUK786459:FUK786461 FUK786464:FUK786465 FUK786539:FUK786542 FUK851995:FUK851997 FUK852000:FUK852001 FUK852075:FUK852078 FUK917531:FUK917533 FUK917536:FUK917537 FUK917611:FUK917614 FUK983067:FUK983069 FUK983072:FUK983073 FUK983147:FUK983150 GEG108:GEG110 GEG65563:GEG65565 GEG65568:GEG65569 GEG65643:GEG65646 GEG131099:GEG131101 GEG131104:GEG131105 GEG131179:GEG131182 GEG196635:GEG196637 GEG196640:GEG196641 GEG196715:GEG196718 GEG262171:GEG262173 GEG262176:GEG262177 GEG262251:GEG262254 GEG327707:GEG327709 GEG327712:GEG327713 GEG327787:GEG327790 GEG393243:GEG393245 GEG393248:GEG393249 GEG393323:GEG393326 GEG458779:GEG458781 GEG458784:GEG458785 GEG458859:GEG458862 GEG524315:GEG524317 GEG524320:GEG524321 GEG524395:GEG524398 GEG589851:GEG589853 GEG589856:GEG589857 GEG589931:GEG589934 GEG655387:GEG655389 GEG655392:GEG655393 GEG655467:GEG655470 GEG720923:GEG720925 GEG720928:GEG720929 GEG721003:GEG721006 GEG786459:GEG786461 GEG786464:GEG786465 GEG786539:GEG786542 GEG851995:GEG851997 GEG852000:GEG852001 GEG852075:GEG852078 GEG917531:GEG917533 GEG917536:GEG917537 GEG917611:GEG917614 GEG983067:GEG983069 GEG983072:GEG983073 GEG983147:GEG983150 GOC108:GOC110 GOC65563:GOC65565 GOC65568:GOC65569 GOC65643:GOC65646 GOC131099:GOC131101 GOC131104:GOC131105 GOC131179:GOC131182 GOC196635:GOC196637 GOC196640:GOC196641 GOC196715:GOC196718 GOC262171:GOC262173 GOC262176:GOC262177 GOC262251:GOC262254 GOC327707:GOC327709 GOC327712:GOC327713 GOC327787:GOC327790 GOC393243:GOC393245 GOC393248:GOC393249 GOC393323:GOC393326 GOC458779:GOC458781 GOC458784:GOC458785 GOC458859:GOC458862 GOC524315:GOC524317 GOC524320:GOC524321 GOC524395:GOC524398 GOC589851:GOC589853 GOC589856:GOC589857 GOC589931:GOC589934 GOC655387:GOC655389 GOC655392:GOC655393 GOC655467:GOC655470 GOC720923:GOC720925 GOC720928:GOC720929 GOC721003:GOC721006 GOC786459:GOC786461 GOC786464:GOC786465 GOC786539:GOC786542 GOC851995:GOC851997 GOC852000:GOC852001 GOC852075:GOC852078 GOC917531:GOC917533 GOC917536:GOC917537 GOC917611:GOC917614 GOC983067:GOC983069 GOC983072:GOC983073 GOC983147:GOC983150 GXY108:GXY110 GXY65563:GXY65565 GXY65568:GXY65569 GXY65643:GXY65646 GXY131099:GXY131101 GXY131104:GXY131105 GXY131179:GXY131182 GXY196635:GXY196637 GXY196640:GXY196641 GXY196715:GXY196718 GXY262171:GXY262173 GXY262176:GXY262177 GXY262251:GXY262254 GXY327707:GXY327709 GXY327712:GXY327713 GXY327787:GXY327790 GXY393243:GXY393245 GXY393248:GXY393249 GXY393323:GXY393326 GXY458779:GXY458781 GXY458784:GXY458785 GXY458859:GXY458862 GXY524315:GXY524317 GXY524320:GXY524321 GXY524395:GXY524398 GXY589851:GXY589853 GXY589856:GXY589857 GXY589931:GXY589934 GXY655387:GXY655389 GXY655392:GXY655393 GXY655467:GXY655470 GXY720923:GXY720925 GXY720928:GXY720929 GXY721003:GXY721006 GXY786459:GXY786461 GXY786464:GXY786465 GXY786539:GXY786542 GXY851995:GXY851997 GXY852000:GXY852001 GXY852075:GXY852078 GXY917531:GXY917533 GXY917536:GXY917537 GXY917611:GXY917614 GXY983067:GXY983069 GXY983072:GXY983073 GXY983147:GXY983150 HHU108:HHU110 HHU65563:HHU65565 HHU65568:HHU65569 HHU65643:HHU65646 HHU131099:HHU131101 HHU131104:HHU131105 HHU131179:HHU131182 HHU196635:HHU196637 HHU196640:HHU196641 HHU196715:HHU196718 HHU262171:HHU262173 HHU262176:HHU262177 HHU262251:HHU262254 HHU327707:HHU327709 HHU327712:HHU327713 HHU327787:HHU327790 HHU393243:HHU393245 HHU393248:HHU393249 HHU393323:HHU393326 HHU458779:HHU458781 HHU458784:HHU458785 HHU458859:HHU458862 HHU524315:HHU524317 HHU524320:HHU524321 HHU524395:HHU524398 HHU589851:HHU589853 HHU589856:HHU589857 HHU589931:HHU589934 HHU655387:HHU655389 HHU655392:HHU655393 HHU655467:HHU655470 HHU720923:HHU720925 HHU720928:HHU720929 HHU721003:HHU721006 HHU786459:HHU786461 HHU786464:HHU786465 HHU786539:HHU786542 HHU851995:HHU851997 HHU852000:HHU852001 HHU852075:HHU852078 HHU917531:HHU917533 HHU917536:HHU917537 HHU917611:HHU917614 HHU983067:HHU983069 HHU983072:HHU983073 HHU983147:HHU983150 HRQ108:HRQ110 HRQ65563:HRQ65565 HRQ65568:HRQ65569 HRQ65643:HRQ65646 HRQ131099:HRQ131101 HRQ131104:HRQ131105 HRQ131179:HRQ131182 HRQ196635:HRQ196637 HRQ196640:HRQ196641 HRQ196715:HRQ196718 HRQ262171:HRQ262173 HRQ262176:HRQ262177 HRQ262251:HRQ262254 HRQ327707:HRQ327709 HRQ327712:HRQ327713 HRQ327787:HRQ327790 HRQ393243:HRQ393245 HRQ393248:HRQ393249 HRQ393323:HRQ393326 HRQ458779:HRQ458781 HRQ458784:HRQ458785 HRQ458859:HRQ458862 HRQ524315:HRQ524317 HRQ524320:HRQ524321 HRQ524395:HRQ524398 HRQ589851:HRQ589853 HRQ589856:HRQ589857 HRQ589931:HRQ589934 HRQ655387:HRQ655389 HRQ655392:HRQ655393 HRQ655467:HRQ655470 HRQ720923:HRQ720925 HRQ720928:HRQ720929 HRQ721003:HRQ721006 HRQ786459:HRQ786461 HRQ786464:HRQ786465 HRQ786539:HRQ786542 HRQ851995:HRQ851997 HRQ852000:HRQ852001 HRQ852075:HRQ852078 HRQ917531:HRQ917533 HRQ917536:HRQ917537 HRQ917611:HRQ917614 HRQ983067:HRQ983069 HRQ983072:HRQ983073 HRQ983147:HRQ983150 IBM108:IBM110 IBM65563:IBM65565 IBM65568:IBM65569 IBM65643:IBM65646 IBM131099:IBM131101 IBM131104:IBM131105 IBM131179:IBM131182 IBM196635:IBM196637 IBM196640:IBM196641 IBM196715:IBM196718 IBM262171:IBM262173 IBM262176:IBM262177 IBM262251:IBM262254 IBM327707:IBM327709 IBM327712:IBM327713 IBM327787:IBM327790 IBM393243:IBM393245 IBM393248:IBM393249 IBM393323:IBM393326 IBM458779:IBM458781 IBM458784:IBM458785 IBM458859:IBM458862 IBM524315:IBM524317 IBM524320:IBM524321 IBM524395:IBM524398 IBM589851:IBM589853 IBM589856:IBM589857 IBM589931:IBM589934 IBM655387:IBM655389 IBM655392:IBM655393 IBM655467:IBM655470 IBM720923:IBM720925 IBM720928:IBM720929 IBM721003:IBM721006 IBM786459:IBM786461 IBM786464:IBM786465 IBM786539:IBM786542 IBM851995:IBM851997 IBM852000:IBM852001 IBM852075:IBM852078 IBM917531:IBM917533 IBM917536:IBM917537 IBM917611:IBM917614 IBM983067:IBM983069 IBM983072:IBM983073 IBM983147:IBM983150 ILI108:ILI110 ILI65563:ILI65565 ILI65568:ILI65569 ILI65643:ILI65646 ILI131099:ILI131101 ILI131104:ILI131105 ILI131179:ILI131182 ILI196635:ILI196637 ILI196640:ILI196641 ILI196715:ILI196718 ILI262171:ILI262173 ILI262176:ILI262177 ILI262251:ILI262254 ILI327707:ILI327709 ILI327712:ILI327713 ILI327787:ILI327790 ILI393243:ILI393245 ILI393248:ILI393249 ILI393323:ILI393326 ILI458779:ILI458781 ILI458784:ILI458785 ILI458859:ILI458862 ILI524315:ILI524317 ILI524320:ILI524321 ILI524395:ILI524398 ILI589851:ILI589853 ILI589856:ILI589857 ILI589931:ILI589934 ILI655387:ILI655389 ILI655392:ILI655393 ILI655467:ILI655470 ILI720923:ILI720925 ILI720928:ILI720929 ILI721003:ILI721006 ILI786459:ILI786461 ILI786464:ILI786465 ILI786539:ILI786542 ILI851995:ILI851997 ILI852000:ILI852001 ILI852075:ILI852078 ILI917531:ILI917533 ILI917536:ILI917537 ILI917611:ILI917614 ILI983067:ILI983069 ILI983072:ILI983073 ILI983147:ILI983150 IVE108:IVE110 IVE65563:IVE65565 IVE65568:IVE65569 IVE65643:IVE65646 IVE131099:IVE131101 IVE131104:IVE131105 IVE131179:IVE131182 IVE196635:IVE196637 IVE196640:IVE196641 IVE196715:IVE196718 IVE262171:IVE262173 IVE262176:IVE262177 IVE262251:IVE262254 IVE327707:IVE327709 IVE327712:IVE327713 IVE327787:IVE327790 IVE393243:IVE393245 IVE393248:IVE393249 IVE393323:IVE393326 IVE458779:IVE458781 IVE458784:IVE458785 IVE458859:IVE458862 IVE524315:IVE524317 IVE524320:IVE524321 IVE524395:IVE524398 IVE589851:IVE589853 IVE589856:IVE589857 IVE589931:IVE589934 IVE655387:IVE655389 IVE655392:IVE655393 IVE655467:IVE655470 IVE720923:IVE720925 IVE720928:IVE720929 IVE721003:IVE721006 IVE786459:IVE786461 IVE786464:IVE786465 IVE786539:IVE786542 IVE851995:IVE851997 IVE852000:IVE852001 IVE852075:IVE852078 IVE917531:IVE917533 IVE917536:IVE917537 IVE917611:IVE917614 IVE983067:IVE983069 IVE983072:IVE983073 IVE983147:IVE983150 JFA108:JFA110 JFA65563:JFA65565 JFA65568:JFA65569 JFA65643:JFA65646 JFA131099:JFA131101 JFA131104:JFA131105 JFA131179:JFA131182 JFA196635:JFA196637 JFA196640:JFA196641 JFA196715:JFA196718 JFA262171:JFA262173 JFA262176:JFA262177 JFA262251:JFA262254 JFA327707:JFA327709 JFA327712:JFA327713 JFA327787:JFA327790 JFA393243:JFA393245 JFA393248:JFA393249 JFA393323:JFA393326 JFA458779:JFA458781 JFA458784:JFA458785 JFA458859:JFA458862 JFA524315:JFA524317 JFA524320:JFA524321 JFA524395:JFA524398 JFA589851:JFA589853 JFA589856:JFA589857 JFA589931:JFA589934 JFA655387:JFA655389 JFA655392:JFA655393 JFA655467:JFA655470 JFA720923:JFA720925 JFA720928:JFA720929 JFA721003:JFA721006 JFA786459:JFA786461 JFA786464:JFA786465 JFA786539:JFA786542 JFA851995:JFA851997 JFA852000:JFA852001 JFA852075:JFA852078 JFA917531:JFA917533 JFA917536:JFA917537 JFA917611:JFA917614 JFA983067:JFA983069 JFA983072:JFA983073 JFA983147:JFA983150 JOW108:JOW110 JOW65563:JOW65565 JOW65568:JOW65569 JOW65643:JOW65646 JOW131099:JOW131101 JOW131104:JOW131105 JOW131179:JOW131182 JOW196635:JOW196637 JOW196640:JOW196641 JOW196715:JOW196718 JOW262171:JOW262173 JOW262176:JOW262177 JOW262251:JOW262254 JOW327707:JOW327709 JOW327712:JOW327713 JOW327787:JOW327790 JOW393243:JOW393245 JOW393248:JOW393249 JOW393323:JOW393326 JOW458779:JOW458781 JOW458784:JOW458785 JOW458859:JOW458862 JOW524315:JOW524317 JOW524320:JOW524321 JOW524395:JOW524398 JOW589851:JOW589853 JOW589856:JOW589857 JOW589931:JOW589934 JOW655387:JOW655389 JOW655392:JOW655393 JOW655467:JOW655470 JOW720923:JOW720925 JOW720928:JOW720929 JOW721003:JOW721006 JOW786459:JOW786461 JOW786464:JOW786465 JOW786539:JOW786542 JOW851995:JOW851997 JOW852000:JOW852001 JOW852075:JOW852078 JOW917531:JOW917533 JOW917536:JOW917537 JOW917611:JOW917614 JOW983067:JOW983069 JOW983072:JOW983073 JOW983147:JOW983150 JYS108:JYS110 JYS65563:JYS65565 JYS65568:JYS65569 JYS65643:JYS65646 JYS131099:JYS131101 JYS131104:JYS131105 JYS131179:JYS131182 JYS196635:JYS196637 JYS196640:JYS196641 JYS196715:JYS196718 JYS262171:JYS262173 JYS262176:JYS262177 JYS262251:JYS262254 JYS327707:JYS327709 JYS327712:JYS327713 JYS327787:JYS327790 JYS393243:JYS393245 JYS393248:JYS393249 JYS393323:JYS393326 JYS458779:JYS458781 JYS458784:JYS458785 JYS458859:JYS458862 JYS524315:JYS524317 JYS524320:JYS524321 JYS524395:JYS524398 JYS589851:JYS589853 JYS589856:JYS589857 JYS589931:JYS589934 JYS655387:JYS655389 JYS655392:JYS655393 JYS655467:JYS655470 JYS720923:JYS720925 JYS720928:JYS720929 JYS721003:JYS721006 JYS786459:JYS786461 JYS786464:JYS786465 JYS786539:JYS786542 JYS851995:JYS851997 JYS852000:JYS852001 JYS852075:JYS852078 JYS917531:JYS917533 JYS917536:JYS917537 JYS917611:JYS917614 JYS983067:JYS983069 JYS983072:JYS983073 JYS983147:JYS983150 KIO108:KIO110 KIO65563:KIO65565 KIO65568:KIO65569 KIO65643:KIO65646 KIO131099:KIO131101 KIO131104:KIO131105 KIO131179:KIO131182 KIO196635:KIO196637 KIO196640:KIO196641 KIO196715:KIO196718 KIO262171:KIO262173 KIO262176:KIO262177 KIO262251:KIO262254 KIO327707:KIO327709 KIO327712:KIO327713 KIO327787:KIO327790 KIO393243:KIO393245 KIO393248:KIO393249 KIO393323:KIO393326 KIO458779:KIO458781 KIO458784:KIO458785 KIO458859:KIO458862 KIO524315:KIO524317 KIO524320:KIO524321 KIO524395:KIO524398 KIO589851:KIO589853 KIO589856:KIO589857 KIO589931:KIO589934 KIO655387:KIO655389 KIO655392:KIO655393 KIO655467:KIO655470 KIO720923:KIO720925 KIO720928:KIO720929 KIO721003:KIO721006 KIO786459:KIO786461 KIO786464:KIO786465 KIO786539:KIO786542 KIO851995:KIO851997 KIO852000:KIO852001 KIO852075:KIO852078 KIO917531:KIO917533 KIO917536:KIO917537 KIO917611:KIO917614 KIO983067:KIO983069 KIO983072:KIO983073 KIO983147:KIO983150 KSK108:KSK110 KSK65563:KSK65565 KSK65568:KSK65569 KSK65643:KSK65646 KSK131099:KSK131101 KSK131104:KSK131105 KSK131179:KSK131182 KSK196635:KSK196637 KSK196640:KSK196641 KSK196715:KSK196718 KSK262171:KSK262173 KSK262176:KSK262177 KSK262251:KSK262254 KSK327707:KSK327709 KSK327712:KSK327713 KSK327787:KSK327790 KSK393243:KSK393245 KSK393248:KSK393249 KSK393323:KSK393326 KSK458779:KSK458781 KSK458784:KSK458785 KSK458859:KSK458862 KSK524315:KSK524317 KSK524320:KSK524321 KSK524395:KSK524398 KSK589851:KSK589853 KSK589856:KSK589857 KSK589931:KSK589934 KSK655387:KSK655389 KSK655392:KSK655393 KSK655467:KSK655470 KSK720923:KSK720925 KSK720928:KSK720929 KSK721003:KSK721006 KSK786459:KSK786461 KSK786464:KSK786465 KSK786539:KSK786542 KSK851995:KSK851997 KSK852000:KSK852001 KSK852075:KSK852078 KSK917531:KSK917533 KSK917536:KSK917537 KSK917611:KSK917614 KSK983067:KSK983069 KSK983072:KSK983073 KSK983147:KSK983150 LCG108:LCG110 LCG65563:LCG65565 LCG65568:LCG65569 LCG65643:LCG65646 LCG131099:LCG131101 LCG131104:LCG131105 LCG131179:LCG131182 LCG196635:LCG196637 LCG196640:LCG196641 LCG196715:LCG196718 LCG262171:LCG262173 LCG262176:LCG262177 LCG262251:LCG262254 LCG327707:LCG327709 LCG327712:LCG327713 LCG327787:LCG327790 LCG393243:LCG393245 LCG393248:LCG393249 LCG393323:LCG393326 LCG458779:LCG458781 LCG458784:LCG458785 LCG458859:LCG458862 LCG524315:LCG524317 LCG524320:LCG524321 LCG524395:LCG524398 LCG589851:LCG589853 LCG589856:LCG589857 LCG589931:LCG589934 LCG655387:LCG655389 LCG655392:LCG655393 LCG655467:LCG655470 LCG720923:LCG720925 LCG720928:LCG720929 LCG721003:LCG721006 LCG786459:LCG786461 LCG786464:LCG786465 LCG786539:LCG786542 LCG851995:LCG851997 LCG852000:LCG852001 LCG852075:LCG852078 LCG917531:LCG917533 LCG917536:LCG917537 LCG917611:LCG917614 LCG983067:LCG983069 LCG983072:LCG983073 LCG983147:LCG983150 LMC108:LMC110 LMC65563:LMC65565 LMC65568:LMC65569 LMC65643:LMC65646 LMC131099:LMC131101 LMC131104:LMC131105 LMC131179:LMC131182 LMC196635:LMC196637 LMC196640:LMC196641 LMC196715:LMC196718 LMC262171:LMC262173 LMC262176:LMC262177 LMC262251:LMC262254 LMC327707:LMC327709 LMC327712:LMC327713 LMC327787:LMC327790 LMC393243:LMC393245 LMC393248:LMC393249 LMC393323:LMC393326 LMC458779:LMC458781 LMC458784:LMC458785 LMC458859:LMC458862 LMC524315:LMC524317 LMC524320:LMC524321 LMC524395:LMC524398 LMC589851:LMC589853 LMC589856:LMC589857 LMC589931:LMC589934 LMC655387:LMC655389 LMC655392:LMC655393 LMC655467:LMC655470 LMC720923:LMC720925 LMC720928:LMC720929 LMC721003:LMC721006 LMC786459:LMC786461 LMC786464:LMC786465 LMC786539:LMC786542 LMC851995:LMC851997 LMC852000:LMC852001 LMC852075:LMC852078 LMC917531:LMC917533 LMC917536:LMC917537 LMC917611:LMC917614 LMC983067:LMC983069 LMC983072:LMC983073 LMC983147:LMC983150 LVY108:LVY110 LVY65563:LVY65565 LVY65568:LVY65569 LVY65643:LVY65646 LVY131099:LVY131101 LVY131104:LVY131105 LVY131179:LVY131182 LVY196635:LVY196637 LVY196640:LVY196641 LVY196715:LVY196718 LVY262171:LVY262173 LVY262176:LVY262177 LVY262251:LVY262254 LVY327707:LVY327709 LVY327712:LVY327713 LVY327787:LVY327790 LVY393243:LVY393245 LVY393248:LVY393249 LVY393323:LVY393326 LVY458779:LVY458781 LVY458784:LVY458785 LVY458859:LVY458862 LVY524315:LVY524317 LVY524320:LVY524321 LVY524395:LVY524398 LVY589851:LVY589853 LVY589856:LVY589857 LVY589931:LVY589934 LVY655387:LVY655389 LVY655392:LVY655393 LVY655467:LVY655470 LVY720923:LVY720925 LVY720928:LVY720929 LVY721003:LVY721006 LVY786459:LVY786461 LVY786464:LVY786465 LVY786539:LVY786542 LVY851995:LVY851997 LVY852000:LVY852001 LVY852075:LVY852078 LVY917531:LVY917533 LVY917536:LVY917537 LVY917611:LVY917614 LVY983067:LVY983069 LVY983072:LVY983073 LVY983147:LVY983150 MFU108:MFU110 MFU65563:MFU65565 MFU65568:MFU65569 MFU65643:MFU65646 MFU131099:MFU131101 MFU131104:MFU131105 MFU131179:MFU131182 MFU196635:MFU196637 MFU196640:MFU196641 MFU196715:MFU196718 MFU262171:MFU262173 MFU262176:MFU262177 MFU262251:MFU262254 MFU327707:MFU327709 MFU327712:MFU327713 MFU327787:MFU327790 MFU393243:MFU393245 MFU393248:MFU393249 MFU393323:MFU393326 MFU458779:MFU458781 MFU458784:MFU458785 MFU458859:MFU458862 MFU524315:MFU524317 MFU524320:MFU524321 MFU524395:MFU524398 MFU589851:MFU589853 MFU589856:MFU589857 MFU589931:MFU589934 MFU655387:MFU655389 MFU655392:MFU655393 MFU655467:MFU655470 MFU720923:MFU720925 MFU720928:MFU720929 MFU721003:MFU721006 MFU786459:MFU786461 MFU786464:MFU786465 MFU786539:MFU786542 MFU851995:MFU851997 MFU852000:MFU852001 MFU852075:MFU852078 MFU917531:MFU917533 MFU917536:MFU917537 MFU917611:MFU917614 MFU983067:MFU983069 MFU983072:MFU983073 MFU983147:MFU983150 MPQ108:MPQ110 MPQ65563:MPQ65565 MPQ65568:MPQ65569 MPQ65643:MPQ65646 MPQ131099:MPQ131101 MPQ131104:MPQ131105 MPQ131179:MPQ131182 MPQ196635:MPQ196637 MPQ196640:MPQ196641 MPQ196715:MPQ196718 MPQ262171:MPQ262173 MPQ262176:MPQ262177 MPQ262251:MPQ262254 MPQ327707:MPQ327709 MPQ327712:MPQ327713 MPQ327787:MPQ327790 MPQ393243:MPQ393245 MPQ393248:MPQ393249 MPQ393323:MPQ393326 MPQ458779:MPQ458781 MPQ458784:MPQ458785 MPQ458859:MPQ458862 MPQ524315:MPQ524317 MPQ524320:MPQ524321 MPQ524395:MPQ524398 MPQ589851:MPQ589853 MPQ589856:MPQ589857 MPQ589931:MPQ589934 MPQ655387:MPQ655389 MPQ655392:MPQ655393 MPQ655467:MPQ655470 MPQ720923:MPQ720925 MPQ720928:MPQ720929 MPQ721003:MPQ721006 MPQ786459:MPQ786461 MPQ786464:MPQ786465 MPQ786539:MPQ786542 MPQ851995:MPQ851997 MPQ852000:MPQ852001 MPQ852075:MPQ852078 MPQ917531:MPQ917533 MPQ917536:MPQ917537 MPQ917611:MPQ917614 MPQ983067:MPQ983069 MPQ983072:MPQ983073 MPQ983147:MPQ983150 MZM108:MZM110 MZM65563:MZM65565 MZM65568:MZM65569 MZM65643:MZM65646 MZM131099:MZM131101 MZM131104:MZM131105 MZM131179:MZM131182 MZM196635:MZM196637 MZM196640:MZM196641 MZM196715:MZM196718 MZM262171:MZM262173 MZM262176:MZM262177 MZM262251:MZM262254 MZM327707:MZM327709 MZM327712:MZM327713 MZM327787:MZM327790 MZM393243:MZM393245 MZM393248:MZM393249 MZM393323:MZM393326 MZM458779:MZM458781 MZM458784:MZM458785 MZM458859:MZM458862 MZM524315:MZM524317 MZM524320:MZM524321 MZM524395:MZM524398 MZM589851:MZM589853 MZM589856:MZM589857 MZM589931:MZM589934 MZM655387:MZM655389 MZM655392:MZM655393 MZM655467:MZM655470 MZM720923:MZM720925 MZM720928:MZM720929 MZM721003:MZM721006 MZM786459:MZM786461 MZM786464:MZM786465 MZM786539:MZM786542 MZM851995:MZM851997 MZM852000:MZM852001 MZM852075:MZM852078 MZM917531:MZM917533 MZM917536:MZM917537 MZM917611:MZM917614 MZM983067:MZM983069 MZM983072:MZM983073 MZM983147:MZM983150 NJI108:NJI110 NJI65563:NJI65565 NJI65568:NJI65569 NJI65643:NJI65646 NJI131099:NJI131101 NJI131104:NJI131105 NJI131179:NJI131182 NJI196635:NJI196637 NJI196640:NJI196641 NJI196715:NJI196718 NJI262171:NJI262173 NJI262176:NJI262177 NJI262251:NJI262254 NJI327707:NJI327709 NJI327712:NJI327713 NJI327787:NJI327790 NJI393243:NJI393245 NJI393248:NJI393249 NJI393323:NJI393326 NJI458779:NJI458781 NJI458784:NJI458785 NJI458859:NJI458862 NJI524315:NJI524317 NJI524320:NJI524321 NJI524395:NJI524398 NJI589851:NJI589853 NJI589856:NJI589857 NJI589931:NJI589934 NJI655387:NJI655389 NJI655392:NJI655393 NJI655467:NJI655470 NJI720923:NJI720925 NJI720928:NJI720929 NJI721003:NJI721006 NJI786459:NJI786461 NJI786464:NJI786465 NJI786539:NJI786542 NJI851995:NJI851997 NJI852000:NJI852001 NJI852075:NJI852078 NJI917531:NJI917533 NJI917536:NJI917537 NJI917611:NJI917614 NJI983067:NJI983069 NJI983072:NJI983073 NJI983147:NJI983150 NTE108:NTE110 NTE65563:NTE65565 NTE65568:NTE65569 NTE65643:NTE65646 NTE131099:NTE131101 NTE131104:NTE131105 NTE131179:NTE131182 NTE196635:NTE196637 NTE196640:NTE196641 NTE196715:NTE196718 NTE262171:NTE262173 NTE262176:NTE262177 NTE262251:NTE262254 NTE327707:NTE327709 NTE327712:NTE327713 NTE327787:NTE327790 NTE393243:NTE393245 NTE393248:NTE393249 NTE393323:NTE393326 NTE458779:NTE458781 NTE458784:NTE458785 NTE458859:NTE458862 NTE524315:NTE524317 NTE524320:NTE524321 NTE524395:NTE524398 NTE589851:NTE589853 NTE589856:NTE589857 NTE589931:NTE589934 NTE655387:NTE655389 NTE655392:NTE655393 NTE655467:NTE655470 NTE720923:NTE720925 NTE720928:NTE720929 NTE721003:NTE721006 NTE786459:NTE786461 NTE786464:NTE786465 NTE786539:NTE786542 NTE851995:NTE851997 NTE852000:NTE852001 NTE852075:NTE852078 NTE917531:NTE917533 NTE917536:NTE917537 NTE917611:NTE917614 NTE983067:NTE983069 NTE983072:NTE983073 NTE983147:NTE983150 ODA108:ODA110 ODA65563:ODA65565 ODA65568:ODA65569 ODA65643:ODA65646 ODA131099:ODA131101 ODA131104:ODA131105 ODA131179:ODA131182 ODA196635:ODA196637 ODA196640:ODA196641 ODA196715:ODA196718 ODA262171:ODA262173 ODA262176:ODA262177 ODA262251:ODA262254 ODA327707:ODA327709 ODA327712:ODA327713 ODA327787:ODA327790 ODA393243:ODA393245 ODA393248:ODA393249 ODA393323:ODA393326 ODA458779:ODA458781 ODA458784:ODA458785 ODA458859:ODA458862 ODA524315:ODA524317 ODA524320:ODA524321 ODA524395:ODA524398 ODA589851:ODA589853 ODA589856:ODA589857 ODA589931:ODA589934 ODA655387:ODA655389 ODA655392:ODA655393 ODA655467:ODA655470 ODA720923:ODA720925 ODA720928:ODA720929 ODA721003:ODA721006 ODA786459:ODA786461 ODA786464:ODA786465 ODA786539:ODA786542 ODA851995:ODA851997 ODA852000:ODA852001 ODA852075:ODA852078 ODA917531:ODA917533 ODA917536:ODA917537 ODA917611:ODA917614 ODA983067:ODA983069 ODA983072:ODA983073 ODA983147:ODA983150 OMW108:OMW110 OMW65563:OMW65565 OMW65568:OMW65569 OMW65643:OMW65646 OMW131099:OMW131101 OMW131104:OMW131105 OMW131179:OMW131182 OMW196635:OMW196637 OMW196640:OMW196641 OMW196715:OMW196718 OMW262171:OMW262173 OMW262176:OMW262177 OMW262251:OMW262254 OMW327707:OMW327709 OMW327712:OMW327713 OMW327787:OMW327790 OMW393243:OMW393245 OMW393248:OMW393249 OMW393323:OMW393326 OMW458779:OMW458781 OMW458784:OMW458785 OMW458859:OMW458862 OMW524315:OMW524317 OMW524320:OMW524321 OMW524395:OMW524398 OMW589851:OMW589853 OMW589856:OMW589857 OMW589931:OMW589934 OMW655387:OMW655389 OMW655392:OMW655393 OMW655467:OMW655470 OMW720923:OMW720925 OMW720928:OMW720929 OMW721003:OMW721006 OMW786459:OMW786461 OMW786464:OMW786465 OMW786539:OMW786542 OMW851995:OMW851997 OMW852000:OMW852001 OMW852075:OMW852078 OMW917531:OMW917533 OMW917536:OMW917537 OMW917611:OMW917614 OMW983067:OMW983069 OMW983072:OMW983073 OMW983147:OMW983150 OWS108:OWS110 OWS65563:OWS65565 OWS65568:OWS65569 OWS65643:OWS65646 OWS131099:OWS131101 OWS131104:OWS131105 OWS131179:OWS131182 OWS196635:OWS196637 OWS196640:OWS196641 OWS196715:OWS196718 OWS262171:OWS262173 OWS262176:OWS262177 OWS262251:OWS262254 OWS327707:OWS327709 OWS327712:OWS327713 OWS327787:OWS327790 OWS393243:OWS393245 OWS393248:OWS393249 OWS393323:OWS393326 OWS458779:OWS458781 OWS458784:OWS458785 OWS458859:OWS458862 OWS524315:OWS524317 OWS524320:OWS524321 OWS524395:OWS524398 OWS589851:OWS589853 OWS589856:OWS589857 OWS589931:OWS589934 OWS655387:OWS655389 OWS655392:OWS655393 OWS655467:OWS655470 OWS720923:OWS720925 OWS720928:OWS720929 OWS721003:OWS721006 OWS786459:OWS786461 OWS786464:OWS786465 OWS786539:OWS786542 OWS851995:OWS851997 OWS852000:OWS852001 OWS852075:OWS852078 OWS917531:OWS917533 OWS917536:OWS917537 OWS917611:OWS917614 OWS983067:OWS983069 OWS983072:OWS983073 OWS983147:OWS983150 PGO108:PGO110 PGO65563:PGO65565 PGO65568:PGO65569 PGO65643:PGO65646 PGO131099:PGO131101 PGO131104:PGO131105 PGO131179:PGO131182 PGO196635:PGO196637 PGO196640:PGO196641 PGO196715:PGO196718 PGO262171:PGO262173 PGO262176:PGO262177 PGO262251:PGO262254 PGO327707:PGO327709 PGO327712:PGO327713 PGO327787:PGO327790 PGO393243:PGO393245 PGO393248:PGO393249 PGO393323:PGO393326 PGO458779:PGO458781 PGO458784:PGO458785 PGO458859:PGO458862 PGO524315:PGO524317 PGO524320:PGO524321 PGO524395:PGO524398 PGO589851:PGO589853 PGO589856:PGO589857 PGO589931:PGO589934 PGO655387:PGO655389 PGO655392:PGO655393 PGO655467:PGO655470 PGO720923:PGO720925 PGO720928:PGO720929 PGO721003:PGO721006 PGO786459:PGO786461 PGO786464:PGO786465 PGO786539:PGO786542 PGO851995:PGO851997 PGO852000:PGO852001 PGO852075:PGO852078 PGO917531:PGO917533 PGO917536:PGO917537 PGO917611:PGO917614 PGO983067:PGO983069 PGO983072:PGO983073 PGO983147:PGO983150 PQK108:PQK110 PQK65563:PQK65565 PQK65568:PQK65569 PQK65643:PQK65646 PQK131099:PQK131101 PQK131104:PQK131105 PQK131179:PQK131182 PQK196635:PQK196637 PQK196640:PQK196641 PQK196715:PQK196718 PQK262171:PQK262173 PQK262176:PQK262177 PQK262251:PQK262254 PQK327707:PQK327709 PQK327712:PQK327713 PQK327787:PQK327790 PQK393243:PQK393245 PQK393248:PQK393249 PQK393323:PQK393326 PQK458779:PQK458781 PQK458784:PQK458785 PQK458859:PQK458862 PQK524315:PQK524317 PQK524320:PQK524321 PQK524395:PQK524398 PQK589851:PQK589853 PQK589856:PQK589857 PQK589931:PQK589934 PQK655387:PQK655389 PQK655392:PQK655393 PQK655467:PQK655470 PQK720923:PQK720925 PQK720928:PQK720929 PQK721003:PQK721006 PQK786459:PQK786461 PQK786464:PQK786465 PQK786539:PQK786542 PQK851995:PQK851997 PQK852000:PQK852001 PQK852075:PQK852078 PQK917531:PQK917533 PQK917536:PQK917537 PQK917611:PQK917614 PQK983067:PQK983069 PQK983072:PQK983073 PQK983147:PQK983150 QAG108:QAG110 QAG65563:QAG65565 QAG65568:QAG65569 QAG65643:QAG65646 QAG131099:QAG131101 QAG131104:QAG131105 QAG131179:QAG131182 QAG196635:QAG196637 QAG196640:QAG196641 QAG196715:QAG196718 QAG262171:QAG262173 QAG262176:QAG262177 QAG262251:QAG262254 QAG327707:QAG327709 QAG327712:QAG327713 QAG327787:QAG327790 QAG393243:QAG393245 QAG393248:QAG393249 QAG393323:QAG393326 QAG458779:QAG458781 QAG458784:QAG458785 QAG458859:QAG458862 QAG524315:QAG524317 QAG524320:QAG524321 QAG524395:QAG524398 QAG589851:QAG589853 QAG589856:QAG589857 QAG589931:QAG589934 QAG655387:QAG655389 QAG655392:QAG655393 QAG655467:QAG655470 QAG720923:QAG720925 QAG720928:QAG720929 QAG721003:QAG721006 QAG786459:QAG786461 QAG786464:QAG786465 QAG786539:QAG786542 QAG851995:QAG851997 QAG852000:QAG852001 QAG852075:QAG852078 QAG917531:QAG917533 QAG917536:QAG917537 QAG917611:QAG917614 QAG983067:QAG983069 QAG983072:QAG983073 QAG983147:QAG983150 QKC108:QKC110 QKC65563:QKC65565 QKC65568:QKC65569 QKC65643:QKC65646 QKC131099:QKC131101 QKC131104:QKC131105 QKC131179:QKC131182 QKC196635:QKC196637 QKC196640:QKC196641 QKC196715:QKC196718 QKC262171:QKC262173 QKC262176:QKC262177 QKC262251:QKC262254 QKC327707:QKC327709 QKC327712:QKC327713 QKC327787:QKC327790 QKC393243:QKC393245 QKC393248:QKC393249 QKC393323:QKC393326 QKC458779:QKC458781 QKC458784:QKC458785 QKC458859:QKC458862 QKC524315:QKC524317 QKC524320:QKC524321 QKC524395:QKC524398 QKC589851:QKC589853 QKC589856:QKC589857 QKC589931:QKC589934 QKC655387:QKC655389 QKC655392:QKC655393 QKC655467:QKC655470 QKC720923:QKC720925 QKC720928:QKC720929 QKC721003:QKC721006 QKC786459:QKC786461 QKC786464:QKC786465 QKC786539:QKC786542 QKC851995:QKC851997 QKC852000:QKC852001 QKC852075:QKC852078 QKC917531:QKC917533 QKC917536:QKC917537 QKC917611:QKC917614 QKC983067:QKC983069 QKC983072:QKC983073 QKC983147:QKC983150 QTY108:QTY110 QTY65563:QTY65565 QTY65568:QTY65569 QTY65643:QTY65646 QTY131099:QTY131101 QTY131104:QTY131105 QTY131179:QTY131182 QTY196635:QTY196637 QTY196640:QTY196641 QTY196715:QTY196718 QTY262171:QTY262173 QTY262176:QTY262177 QTY262251:QTY262254 QTY327707:QTY327709 QTY327712:QTY327713 QTY327787:QTY327790 QTY393243:QTY393245 QTY393248:QTY393249 QTY393323:QTY393326 QTY458779:QTY458781 QTY458784:QTY458785 QTY458859:QTY458862 QTY524315:QTY524317 QTY524320:QTY524321 QTY524395:QTY524398 QTY589851:QTY589853 QTY589856:QTY589857 QTY589931:QTY589934 QTY655387:QTY655389 QTY655392:QTY655393 QTY655467:QTY655470 QTY720923:QTY720925 QTY720928:QTY720929 QTY721003:QTY721006 QTY786459:QTY786461 QTY786464:QTY786465 QTY786539:QTY786542 QTY851995:QTY851997 QTY852000:QTY852001 QTY852075:QTY852078 QTY917531:QTY917533 QTY917536:QTY917537 QTY917611:QTY917614 QTY983067:QTY983069 QTY983072:QTY983073 QTY983147:QTY983150 RDU108:RDU110 RDU65563:RDU65565 RDU65568:RDU65569 RDU65643:RDU65646 RDU131099:RDU131101 RDU131104:RDU131105 RDU131179:RDU131182 RDU196635:RDU196637 RDU196640:RDU196641 RDU196715:RDU196718 RDU262171:RDU262173 RDU262176:RDU262177 RDU262251:RDU262254 RDU327707:RDU327709 RDU327712:RDU327713 RDU327787:RDU327790 RDU393243:RDU393245 RDU393248:RDU393249 RDU393323:RDU393326 RDU458779:RDU458781 RDU458784:RDU458785 RDU458859:RDU458862 RDU524315:RDU524317 RDU524320:RDU524321 RDU524395:RDU524398 RDU589851:RDU589853 RDU589856:RDU589857 RDU589931:RDU589934 RDU655387:RDU655389 RDU655392:RDU655393 RDU655467:RDU655470 RDU720923:RDU720925 RDU720928:RDU720929 RDU721003:RDU721006 RDU786459:RDU786461 RDU786464:RDU786465 RDU786539:RDU786542 RDU851995:RDU851997 RDU852000:RDU852001 RDU852075:RDU852078 RDU917531:RDU917533 RDU917536:RDU917537 RDU917611:RDU917614 RDU983067:RDU983069 RDU983072:RDU983073 RDU983147:RDU983150 RNQ108:RNQ110 RNQ65563:RNQ65565 RNQ65568:RNQ65569 RNQ65643:RNQ65646 RNQ131099:RNQ131101 RNQ131104:RNQ131105 RNQ131179:RNQ131182 RNQ196635:RNQ196637 RNQ196640:RNQ196641 RNQ196715:RNQ196718 RNQ262171:RNQ262173 RNQ262176:RNQ262177 RNQ262251:RNQ262254 RNQ327707:RNQ327709 RNQ327712:RNQ327713 RNQ327787:RNQ327790 RNQ393243:RNQ393245 RNQ393248:RNQ393249 RNQ393323:RNQ393326 RNQ458779:RNQ458781 RNQ458784:RNQ458785 RNQ458859:RNQ458862 RNQ524315:RNQ524317 RNQ524320:RNQ524321 RNQ524395:RNQ524398 RNQ589851:RNQ589853 RNQ589856:RNQ589857 RNQ589931:RNQ589934 RNQ655387:RNQ655389 RNQ655392:RNQ655393 RNQ655467:RNQ655470 RNQ720923:RNQ720925 RNQ720928:RNQ720929 RNQ721003:RNQ721006 RNQ786459:RNQ786461 RNQ786464:RNQ786465 RNQ786539:RNQ786542 RNQ851995:RNQ851997 RNQ852000:RNQ852001 RNQ852075:RNQ852078 RNQ917531:RNQ917533 RNQ917536:RNQ917537 RNQ917611:RNQ917614 RNQ983067:RNQ983069 RNQ983072:RNQ983073 RNQ983147:RNQ983150 RXM108:RXM110 RXM65563:RXM65565 RXM65568:RXM65569 RXM65643:RXM65646 RXM131099:RXM131101 RXM131104:RXM131105 RXM131179:RXM131182 RXM196635:RXM196637 RXM196640:RXM196641 RXM196715:RXM196718 RXM262171:RXM262173 RXM262176:RXM262177 RXM262251:RXM262254 RXM327707:RXM327709 RXM327712:RXM327713 RXM327787:RXM327790 RXM393243:RXM393245 RXM393248:RXM393249 RXM393323:RXM393326 RXM458779:RXM458781 RXM458784:RXM458785 RXM458859:RXM458862 RXM524315:RXM524317 RXM524320:RXM524321 RXM524395:RXM524398 RXM589851:RXM589853 RXM589856:RXM589857 RXM589931:RXM589934 RXM655387:RXM655389 RXM655392:RXM655393 RXM655467:RXM655470 RXM720923:RXM720925 RXM720928:RXM720929 RXM721003:RXM721006 RXM786459:RXM786461 RXM786464:RXM786465 RXM786539:RXM786542 RXM851995:RXM851997 RXM852000:RXM852001 RXM852075:RXM852078 RXM917531:RXM917533 RXM917536:RXM917537 RXM917611:RXM917614 RXM983067:RXM983069 RXM983072:RXM983073 RXM983147:RXM983150 SHI108:SHI110 SHI65563:SHI65565 SHI65568:SHI65569 SHI65643:SHI65646 SHI131099:SHI131101 SHI131104:SHI131105 SHI131179:SHI131182 SHI196635:SHI196637 SHI196640:SHI196641 SHI196715:SHI196718 SHI262171:SHI262173 SHI262176:SHI262177 SHI262251:SHI262254 SHI327707:SHI327709 SHI327712:SHI327713 SHI327787:SHI327790 SHI393243:SHI393245 SHI393248:SHI393249 SHI393323:SHI393326 SHI458779:SHI458781 SHI458784:SHI458785 SHI458859:SHI458862 SHI524315:SHI524317 SHI524320:SHI524321 SHI524395:SHI524398 SHI589851:SHI589853 SHI589856:SHI589857 SHI589931:SHI589934 SHI655387:SHI655389 SHI655392:SHI655393 SHI655467:SHI655470 SHI720923:SHI720925 SHI720928:SHI720929 SHI721003:SHI721006 SHI786459:SHI786461 SHI786464:SHI786465 SHI786539:SHI786542 SHI851995:SHI851997 SHI852000:SHI852001 SHI852075:SHI852078 SHI917531:SHI917533 SHI917536:SHI917537 SHI917611:SHI917614 SHI983067:SHI983069 SHI983072:SHI983073 SHI983147:SHI983150 SRE108:SRE110 SRE65563:SRE65565 SRE65568:SRE65569 SRE65643:SRE65646 SRE131099:SRE131101 SRE131104:SRE131105 SRE131179:SRE131182 SRE196635:SRE196637 SRE196640:SRE196641 SRE196715:SRE196718 SRE262171:SRE262173 SRE262176:SRE262177 SRE262251:SRE262254 SRE327707:SRE327709 SRE327712:SRE327713 SRE327787:SRE327790 SRE393243:SRE393245 SRE393248:SRE393249 SRE393323:SRE393326 SRE458779:SRE458781 SRE458784:SRE458785 SRE458859:SRE458862 SRE524315:SRE524317 SRE524320:SRE524321 SRE524395:SRE524398 SRE589851:SRE589853 SRE589856:SRE589857 SRE589931:SRE589934 SRE655387:SRE655389 SRE655392:SRE655393 SRE655467:SRE655470 SRE720923:SRE720925 SRE720928:SRE720929 SRE721003:SRE721006 SRE786459:SRE786461 SRE786464:SRE786465 SRE786539:SRE786542 SRE851995:SRE851997 SRE852000:SRE852001 SRE852075:SRE852078 SRE917531:SRE917533 SRE917536:SRE917537 SRE917611:SRE917614 SRE983067:SRE983069 SRE983072:SRE983073 SRE983147:SRE983150 TBA108:TBA110 TBA65563:TBA65565 TBA65568:TBA65569 TBA65643:TBA65646 TBA131099:TBA131101 TBA131104:TBA131105 TBA131179:TBA131182 TBA196635:TBA196637 TBA196640:TBA196641 TBA196715:TBA196718 TBA262171:TBA262173 TBA262176:TBA262177 TBA262251:TBA262254 TBA327707:TBA327709 TBA327712:TBA327713 TBA327787:TBA327790 TBA393243:TBA393245 TBA393248:TBA393249 TBA393323:TBA393326 TBA458779:TBA458781 TBA458784:TBA458785 TBA458859:TBA458862 TBA524315:TBA524317 TBA524320:TBA524321 TBA524395:TBA524398 TBA589851:TBA589853 TBA589856:TBA589857 TBA589931:TBA589934 TBA655387:TBA655389 TBA655392:TBA655393 TBA655467:TBA655470 TBA720923:TBA720925 TBA720928:TBA720929 TBA721003:TBA721006 TBA786459:TBA786461 TBA786464:TBA786465 TBA786539:TBA786542 TBA851995:TBA851997 TBA852000:TBA852001 TBA852075:TBA852078 TBA917531:TBA917533 TBA917536:TBA917537 TBA917611:TBA917614 TBA983067:TBA983069 TBA983072:TBA983073 TBA983147:TBA983150 TKW108:TKW110 TKW65563:TKW65565 TKW65568:TKW65569 TKW65643:TKW65646 TKW131099:TKW131101 TKW131104:TKW131105 TKW131179:TKW131182 TKW196635:TKW196637 TKW196640:TKW196641 TKW196715:TKW196718 TKW262171:TKW262173 TKW262176:TKW262177 TKW262251:TKW262254 TKW327707:TKW327709 TKW327712:TKW327713 TKW327787:TKW327790 TKW393243:TKW393245 TKW393248:TKW393249 TKW393323:TKW393326 TKW458779:TKW458781 TKW458784:TKW458785 TKW458859:TKW458862 TKW524315:TKW524317 TKW524320:TKW524321 TKW524395:TKW524398 TKW589851:TKW589853 TKW589856:TKW589857 TKW589931:TKW589934 TKW655387:TKW655389 TKW655392:TKW655393 TKW655467:TKW655470 TKW720923:TKW720925 TKW720928:TKW720929 TKW721003:TKW721006 TKW786459:TKW786461 TKW786464:TKW786465 TKW786539:TKW786542 TKW851995:TKW851997 TKW852000:TKW852001 TKW852075:TKW852078 TKW917531:TKW917533 TKW917536:TKW917537 TKW917611:TKW917614 TKW983067:TKW983069 TKW983072:TKW983073 TKW983147:TKW983150 TUS108:TUS110 TUS65563:TUS65565 TUS65568:TUS65569 TUS65643:TUS65646 TUS131099:TUS131101 TUS131104:TUS131105 TUS131179:TUS131182 TUS196635:TUS196637 TUS196640:TUS196641 TUS196715:TUS196718 TUS262171:TUS262173 TUS262176:TUS262177 TUS262251:TUS262254 TUS327707:TUS327709 TUS327712:TUS327713 TUS327787:TUS327790 TUS393243:TUS393245 TUS393248:TUS393249 TUS393323:TUS393326 TUS458779:TUS458781 TUS458784:TUS458785 TUS458859:TUS458862 TUS524315:TUS524317 TUS524320:TUS524321 TUS524395:TUS524398 TUS589851:TUS589853 TUS589856:TUS589857 TUS589931:TUS589934 TUS655387:TUS655389 TUS655392:TUS655393 TUS655467:TUS655470 TUS720923:TUS720925 TUS720928:TUS720929 TUS721003:TUS721006 TUS786459:TUS786461 TUS786464:TUS786465 TUS786539:TUS786542 TUS851995:TUS851997 TUS852000:TUS852001 TUS852075:TUS852078 TUS917531:TUS917533 TUS917536:TUS917537 TUS917611:TUS917614 TUS983067:TUS983069 TUS983072:TUS983073 TUS983147:TUS983150 UEO108:UEO110 UEO65563:UEO65565 UEO65568:UEO65569 UEO65643:UEO65646 UEO131099:UEO131101 UEO131104:UEO131105 UEO131179:UEO131182 UEO196635:UEO196637 UEO196640:UEO196641 UEO196715:UEO196718 UEO262171:UEO262173 UEO262176:UEO262177 UEO262251:UEO262254 UEO327707:UEO327709 UEO327712:UEO327713 UEO327787:UEO327790 UEO393243:UEO393245 UEO393248:UEO393249 UEO393323:UEO393326 UEO458779:UEO458781 UEO458784:UEO458785 UEO458859:UEO458862 UEO524315:UEO524317 UEO524320:UEO524321 UEO524395:UEO524398 UEO589851:UEO589853 UEO589856:UEO589857 UEO589931:UEO589934 UEO655387:UEO655389 UEO655392:UEO655393 UEO655467:UEO655470 UEO720923:UEO720925 UEO720928:UEO720929 UEO721003:UEO721006 UEO786459:UEO786461 UEO786464:UEO786465 UEO786539:UEO786542 UEO851995:UEO851997 UEO852000:UEO852001 UEO852075:UEO852078 UEO917531:UEO917533 UEO917536:UEO917537 UEO917611:UEO917614 UEO983067:UEO983069 UEO983072:UEO983073 UEO983147:UEO983150 UOK108:UOK110 UOK65563:UOK65565 UOK65568:UOK65569 UOK65643:UOK65646 UOK131099:UOK131101 UOK131104:UOK131105 UOK131179:UOK131182 UOK196635:UOK196637 UOK196640:UOK196641 UOK196715:UOK196718 UOK262171:UOK262173 UOK262176:UOK262177 UOK262251:UOK262254 UOK327707:UOK327709 UOK327712:UOK327713 UOK327787:UOK327790 UOK393243:UOK393245 UOK393248:UOK393249 UOK393323:UOK393326 UOK458779:UOK458781 UOK458784:UOK458785 UOK458859:UOK458862 UOK524315:UOK524317 UOK524320:UOK524321 UOK524395:UOK524398 UOK589851:UOK589853 UOK589856:UOK589857 UOK589931:UOK589934 UOK655387:UOK655389 UOK655392:UOK655393 UOK655467:UOK655470 UOK720923:UOK720925 UOK720928:UOK720929 UOK721003:UOK721006 UOK786459:UOK786461 UOK786464:UOK786465 UOK786539:UOK786542 UOK851995:UOK851997 UOK852000:UOK852001 UOK852075:UOK852078 UOK917531:UOK917533 UOK917536:UOK917537 UOK917611:UOK917614 UOK983067:UOK983069 UOK983072:UOK983073 UOK983147:UOK983150 UYG108:UYG110 UYG65563:UYG65565 UYG65568:UYG65569 UYG65643:UYG65646 UYG131099:UYG131101 UYG131104:UYG131105 UYG131179:UYG131182 UYG196635:UYG196637 UYG196640:UYG196641 UYG196715:UYG196718 UYG262171:UYG262173 UYG262176:UYG262177 UYG262251:UYG262254 UYG327707:UYG327709 UYG327712:UYG327713 UYG327787:UYG327790 UYG393243:UYG393245 UYG393248:UYG393249 UYG393323:UYG393326 UYG458779:UYG458781 UYG458784:UYG458785 UYG458859:UYG458862 UYG524315:UYG524317 UYG524320:UYG524321 UYG524395:UYG524398 UYG589851:UYG589853 UYG589856:UYG589857 UYG589931:UYG589934 UYG655387:UYG655389 UYG655392:UYG655393 UYG655467:UYG655470 UYG720923:UYG720925 UYG720928:UYG720929 UYG721003:UYG721006 UYG786459:UYG786461 UYG786464:UYG786465 UYG786539:UYG786542 UYG851995:UYG851997 UYG852000:UYG852001 UYG852075:UYG852078 UYG917531:UYG917533 UYG917536:UYG917537 UYG917611:UYG917614 UYG983067:UYG983069 UYG983072:UYG983073 UYG983147:UYG983150 VIC108:VIC110 VIC65563:VIC65565 VIC65568:VIC65569 VIC65643:VIC65646 VIC131099:VIC131101 VIC131104:VIC131105 VIC131179:VIC131182 VIC196635:VIC196637 VIC196640:VIC196641 VIC196715:VIC196718 VIC262171:VIC262173 VIC262176:VIC262177 VIC262251:VIC262254 VIC327707:VIC327709 VIC327712:VIC327713 VIC327787:VIC327790 VIC393243:VIC393245 VIC393248:VIC393249 VIC393323:VIC393326 VIC458779:VIC458781 VIC458784:VIC458785 VIC458859:VIC458862 VIC524315:VIC524317 VIC524320:VIC524321 VIC524395:VIC524398 VIC589851:VIC589853 VIC589856:VIC589857 VIC589931:VIC589934 VIC655387:VIC655389 VIC655392:VIC655393 VIC655467:VIC655470 VIC720923:VIC720925 VIC720928:VIC720929 VIC721003:VIC721006 VIC786459:VIC786461 VIC786464:VIC786465 VIC786539:VIC786542 VIC851995:VIC851997 VIC852000:VIC852001 VIC852075:VIC852078 VIC917531:VIC917533 VIC917536:VIC917537 VIC917611:VIC917614 VIC983067:VIC983069 VIC983072:VIC983073 VIC983147:VIC983150 VRY108:VRY110 VRY65563:VRY65565 VRY65568:VRY65569 VRY65643:VRY65646 VRY131099:VRY131101 VRY131104:VRY131105 VRY131179:VRY131182 VRY196635:VRY196637 VRY196640:VRY196641 VRY196715:VRY196718 VRY262171:VRY262173 VRY262176:VRY262177 VRY262251:VRY262254 VRY327707:VRY327709 VRY327712:VRY327713 VRY327787:VRY327790 VRY393243:VRY393245 VRY393248:VRY393249 VRY393323:VRY393326 VRY458779:VRY458781 VRY458784:VRY458785 VRY458859:VRY458862 VRY524315:VRY524317 VRY524320:VRY524321 VRY524395:VRY524398 VRY589851:VRY589853 VRY589856:VRY589857 VRY589931:VRY589934 VRY655387:VRY655389 VRY655392:VRY655393 VRY655467:VRY655470 VRY720923:VRY720925 VRY720928:VRY720929 VRY721003:VRY721006 VRY786459:VRY786461 VRY786464:VRY786465 VRY786539:VRY786542 VRY851995:VRY851997 VRY852000:VRY852001 VRY852075:VRY852078 VRY917531:VRY917533 VRY917536:VRY917537 VRY917611:VRY917614 VRY983067:VRY983069 VRY983072:VRY983073 VRY983147:VRY983150 WBU108:WBU110 WBU65563:WBU65565 WBU65568:WBU65569 WBU65643:WBU65646 WBU131099:WBU131101 WBU131104:WBU131105 WBU131179:WBU131182 WBU196635:WBU196637 WBU196640:WBU196641 WBU196715:WBU196718 WBU262171:WBU262173 WBU262176:WBU262177 WBU262251:WBU262254 WBU327707:WBU327709 WBU327712:WBU327713 WBU327787:WBU327790 WBU393243:WBU393245 WBU393248:WBU393249 WBU393323:WBU393326 WBU458779:WBU458781 WBU458784:WBU458785 WBU458859:WBU458862 WBU524315:WBU524317 WBU524320:WBU524321 WBU524395:WBU524398 WBU589851:WBU589853 WBU589856:WBU589857 WBU589931:WBU589934 WBU655387:WBU655389 WBU655392:WBU655393 WBU655467:WBU655470 WBU720923:WBU720925 WBU720928:WBU720929 WBU721003:WBU721006 WBU786459:WBU786461 WBU786464:WBU786465 WBU786539:WBU786542 WBU851995:WBU851997 WBU852000:WBU852001 WBU852075:WBU852078 WBU917531:WBU917533 WBU917536:WBU917537 WBU917611:WBU917614 WBU983067:WBU983069 WBU983072:WBU983073 WBU983147:WBU983150 WLQ108:WLQ110 WLQ65563:WLQ65565 WLQ65568:WLQ65569 WLQ65643:WLQ65646 WLQ131099:WLQ131101 WLQ131104:WLQ131105 WLQ131179:WLQ131182 WLQ196635:WLQ196637 WLQ196640:WLQ196641 WLQ196715:WLQ196718 WLQ262171:WLQ262173 WLQ262176:WLQ262177 WLQ262251:WLQ262254 WLQ327707:WLQ327709 WLQ327712:WLQ327713 WLQ327787:WLQ327790 WLQ393243:WLQ393245 WLQ393248:WLQ393249 WLQ393323:WLQ393326 WLQ458779:WLQ458781 WLQ458784:WLQ458785 WLQ458859:WLQ458862 WLQ524315:WLQ524317 WLQ524320:WLQ524321 WLQ524395:WLQ524398 WLQ589851:WLQ589853 WLQ589856:WLQ589857 WLQ589931:WLQ589934 WLQ655387:WLQ655389 WLQ655392:WLQ655393 WLQ655467:WLQ655470 WLQ720923:WLQ720925 WLQ720928:WLQ720929 WLQ721003:WLQ721006 WLQ786459:WLQ786461 WLQ786464:WLQ786465 WLQ786539:WLQ786542 WLQ851995:WLQ851997 WLQ852000:WLQ852001 WLQ852075:WLQ852078 WLQ917531:WLQ917533 WLQ917536:WLQ917537 WLQ917611:WLQ917614 WLQ983067:WLQ983069 WLQ983072:WLQ983073 WLQ983147:WLQ983150 WVM108:WVM110 WVM65563:WVM65565 WVM65568:WVM65569 WVM65643:WVM65646 WVM131099:WVM131101 WVM131104:WVM131105 WVM131179:WVM131182 WVM196635:WVM196637 WVM196640:WVM196641 WVM196715:WVM196718 WVM262171:WVM262173 WVM262176:WVM262177 WVM262251:WVM262254 WVM327707:WVM327709 WVM327712:WVM327713 WVM327787:WVM327790 WVM393243:WVM393245 WVM393248:WVM393249 WVM393323:WVM393326 WVM458779:WVM458781 WVM458784:WVM458785 WVM458859:WVM458862 WVM524315:WVM524317 WVM524320:WVM524321 WVM524395:WVM524398 WVM589851:WVM589853 WVM589856:WVM589857 WVM589931:WVM589934 WVM655387:WVM655389 WVM655392:WVM655393 WVM655467:WVM655470 WVM720923:WVM720925 WVM720928:WVM720929 WVM721003:WVM721006 WVM786459:WVM786461 WVM786464:WVM786465 WVM786539:WVM786542 WVM851995:WVM851997 WVM852000:WVM852001 WVM852075:WVM852078 WVM917531:WVM917533 WVM917536:WVM917537 WVM917611:WVM917614 WVM983067:WVM983069 JA22:JA24 SW22:SW24 ACS22:ACS24 AMO22:AMO24 AWK22:AWK24 BGG22:BGG24 BQC22:BQC24 BZY22:BZY24 CJU22:CJU24 CTQ22:CTQ24 DDM22:DDM24 DNI22:DNI24 DXE22:DXE24 EHA22:EHA24 EQW22:EQW24 FAS22:FAS24 FKO22:FKO24 FUK22:FUK24 GEG22:GEG24 GOC22:GOC24 GXY22:GXY24 HHU22:HHU24 HRQ22:HRQ24 IBM22:IBM24 ILI22:ILI24 IVE22:IVE24 JFA22:JFA24 JOW22:JOW24 JYS22:JYS24 KIO22:KIO24 KSK22:KSK24 LCG22:LCG24 LMC22:LMC24 LVY22:LVY24 MFU22:MFU24 MPQ22:MPQ24 MZM22:MZM24 NJI22:NJI24 NTE22:NTE24 ODA22:ODA24 OMW22:OMW24 OWS22:OWS24 PGO22:PGO24 PQK22:PQK24 QAG22:QAG24 QKC22:QKC24 QTY22:QTY24 RDU22:RDU24 RNQ22:RNQ24 RXM22:RXM24 SHI22:SHI24 SRE22:SRE24 TBA22:TBA24 TKW22:TKW24 TUS22:TUS24 UEO22:UEO24 UOK22:UOK24 UYG22:UYG24 VIC22:VIC24 VRY22:VRY24 WBU22:WBU24 WLQ22:WLQ24 WVM22:WVM24 JA65585:JA65586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92"/>
  <sheetViews>
    <sheetView zoomScale="80" zoomScaleNormal="80" zoomScaleSheetLayoutView="64" workbookViewId="0">
      <pane ySplit="4" topLeftCell="A6" activePane="bottomLeft" state="frozen"/>
      <selection activeCell="B19" sqref="B19"/>
      <selection pane="bottomLeft" activeCell="A6" sqref="A6:A7"/>
    </sheetView>
  </sheetViews>
  <sheetFormatPr defaultColWidth="9" defaultRowHeight="14.25"/>
  <cols>
    <col min="1" max="1" width="12.42578125" style="1" customWidth="1"/>
    <col min="2" max="2" width="15.42578125" style="8" customWidth="1"/>
    <col min="3" max="3" width="17.42578125" style="1" customWidth="1"/>
    <col min="4" max="4" width="32.28515625" style="2" customWidth="1"/>
    <col min="5" max="5" width="15.42578125" style="1" customWidth="1"/>
    <col min="6" max="6" width="29" style="1" customWidth="1"/>
    <col min="7" max="7" width="44.42578125" style="3" customWidth="1"/>
    <col min="8" max="9" width="17.7109375" style="23" customWidth="1"/>
    <col min="10" max="10" width="18.85546875" style="23" customWidth="1"/>
    <col min="11" max="11" width="17.7109375" style="23" customWidth="1"/>
    <col min="12" max="12" width="17" style="3" hidden="1" customWidth="1"/>
    <col min="13" max="13" width="2.42578125" style="3" hidden="1" customWidth="1"/>
    <col min="14" max="14" width="21.42578125" style="3" hidden="1" customWidth="1"/>
    <col min="15" max="15" width="13.7109375" style="3" hidden="1" customWidth="1"/>
    <col min="16" max="16" width="14" style="3" hidden="1" customWidth="1"/>
    <col min="17" max="17" width="14.42578125" style="3" hidden="1" customWidth="1"/>
    <col min="18" max="20" width="0" style="3" hidden="1" customWidth="1"/>
    <col min="21" max="21" width="12.28515625" style="3" bestFit="1" customWidth="1"/>
    <col min="22" max="22" width="16" style="3" bestFit="1" customWidth="1"/>
    <col min="23" max="23" width="9" style="3"/>
    <col min="24" max="24" width="10.42578125" style="3" customWidth="1"/>
    <col min="25" max="16384" width="9" style="3"/>
  </cols>
  <sheetData>
    <row r="1" spans="1:26" ht="30" customHeight="1">
      <c r="A1" s="441" t="s">
        <v>141</v>
      </c>
      <c r="B1" s="441"/>
      <c r="C1" s="441"/>
      <c r="D1" s="441"/>
      <c r="E1" s="441"/>
      <c r="F1" s="441"/>
      <c r="G1" s="441"/>
      <c r="H1" s="441"/>
      <c r="I1" s="441"/>
      <c r="J1" s="441"/>
      <c r="K1" s="441"/>
      <c r="L1" s="29"/>
    </row>
    <row r="2" spans="1:26" ht="30" customHeight="1">
      <c r="A2" s="442" t="s">
        <v>154</v>
      </c>
      <c r="B2" s="442"/>
      <c r="C2" s="442"/>
      <c r="D2" s="442"/>
      <c r="E2" s="442"/>
      <c r="F2" s="442"/>
      <c r="G2" s="442"/>
      <c r="H2" s="442"/>
      <c r="I2" s="442"/>
      <c r="J2" s="442"/>
      <c r="K2" s="442"/>
      <c r="L2" s="29"/>
    </row>
    <row r="3" spans="1:26" ht="45" customHeight="1">
      <c r="A3" s="443" t="s">
        <v>155</v>
      </c>
      <c r="B3" s="443"/>
      <c r="C3" s="443"/>
      <c r="D3" s="443"/>
      <c r="E3" s="443"/>
      <c r="F3" s="443"/>
      <c r="G3" s="443"/>
      <c r="H3" s="443"/>
      <c r="I3" s="443"/>
      <c r="J3" s="443"/>
      <c r="K3" s="443"/>
      <c r="L3" s="443"/>
    </row>
    <row r="4" spans="1:26" s="10" customFormat="1" ht="34.9" customHeight="1">
      <c r="A4" s="24" t="s">
        <v>13</v>
      </c>
      <c r="B4" s="24" t="s">
        <v>14</v>
      </c>
      <c r="C4" s="24" t="s">
        <v>15</v>
      </c>
      <c r="D4" s="24" t="s">
        <v>16</v>
      </c>
      <c r="E4" s="24" t="s">
        <v>17</v>
      </c>
      <c r="F4" s="24" t="s">
        <v>27</v>
      </c>
      <c r="G4" s="24" t="s">
        <v>18</v>
      </c>
      <c r="H4" s="25" t="s">
        <v>45</v>
      </c>
      <c r="I4" s="25" t="s">
        <v>19</v>
      </c>
      <c r="J4" s="25" t="s">
        <v>20</v>
      </c>
      <c r="K4" s="25" t="s">
        <v>21</v>
      </c>
      <c r="L4" s="8"/>
      <c r="M4" s="99"/>
      <c r="N4" s="8"/>
      <c r="O4" s="8"/>
      <c r="P4" s="9"/>
      <c r="Q4" s="100"/>
      <c r="R4" s="9"/>
      <c r="S4" s="9"/>
      <c r="T4" s="9"/>
      <c r="U4" s="9"/>
      <c r="V4" s="9"/>
      <c r="W4" s="9"/>
      <c r="X4" s="9"/>
      <c r="Y4" s="9"/>
      <c r="Z4" s="9"/>
    </row>
    <row r="5" spans="1:26" s="105" customFormat="1" ht="34.9" customHeight="1">
      <c r="A5" s="26">
        <v>2025</v>
      </c>
      <c r="B5" s="101" t="s">
        <v>8</v>
      </c>
      <c r="C5" s="53"/>
      <c r="D5" s="26"/>
      <c r="E5" s="26"/>
      <c r="F5" s="102"/>
      <c r="G5" s="53" t="s">
        <v>31</v>
      </c>
      <c r="H5" s="53" t="s">
        <v>44</v>
      </c>
      <c r="I5" s="103"/>
      <c r="J5" s="59" t="s">
        <v>6</v>
      </c>
      <c r="K5" s="27">
        <v>1211.04</v>
      </c>
      <c r="L5" s="104"/>
      <c r="M5" s="4"/>
      <c r="N5" s="4"/>
      <c r="O5" s="4"/>
      <c r="P5" s="4"/>
      <c r="Q5" s="4"/>
      <c r="R5" s="4"/>
      <c r="S5" s="4"/>
      <c r="V5" s="106"/>
    </row>
    <row r="6" spans="1:26" ht="50.25" customHeight="1">
      <c r="A6" s="458">
        <v>45898</v>
      </c>
      <c r="B6" s="456" t="s">
        <v>8</v>
      </c>
      <c r="C6" s="454"/>
      <c r="D6" s="452"/>
      <c r="E6" s="450" t="s">
        <v>11</v>
      </c>
      <c r="F6" s="119" t="s">
        <v>137</v>
      </c>
      <c r="G6" s="97"/>
      <c r="H6" s="5"/>
      <c r="I6" s="5">
        <f>500/1.1</f>
        <v>454.5454545454545</v>
      </c>
      <c r="J6" s="52"/>
      <c r="K6" s="98">
        <f>K5+I6-J6</f>
        <v>1665.5854545454545</v>
      </c>
      <c r="L6" s="104"/>
      <c r="M6" s="4"/>
      <c r="N6" s="4"/>
      <c r="O6" s="4"/>
      <c r="P6" s="4"/>
      <c r="Q6" s="4"/>
      <c r="R6" s="4"/>
      <c r="S6" s="4"/>
      <c r="U6" s="120"/>
    </row>
    <row r="7" spans="1:26" ht="54.75" customHeight="1">
      <c r="A7" s="459"/>
      <c r="B7" s="457"/>
      <c r="C7" s="455"/>
      <c r="D7" s="453"/>
      <c r="E7" s="451"/>
      <c r="F7" s="119" t="s">
        <v>137</v>
      </c>
      <c r="G7" s="127"/>
      <c r="H7" s="5"/>
      <c r="I7" s="5">
        <f>500/11</f>
        <v>45.454545454545453</v>
      </c>
      <c r="J7" s="52"/>
      <c r="K7" s="98">
        <f t="shared" ref="K7:K8" si="0">K6+I7-J7</f>
        <v>1711.04</v>
      </c>
      <c r="L7" s="104"/>
      <c r="M7" s="4"/>
      <c r="N7" s="4"/>
      <c r="O7" s="4"/>
      <c r="P7" s="4"/>
      <c r="Q7" s="4"/>
      <c r="R7" s="4"/>
      <c r="S7" s="4"/>
      <c r="U7" s="120"/>
    </row>
    <row r="8" spans="1:26" ht="34.9" customHeight="1">
      <c r="A8" s="112">
        <v>45898</v>
      </c>
      <c r="B8" s="152" t="s">
        <v>8</v>
      </c>
      <c r="C8" s="137"/>
      <c r="D8" s="245"/>
      <c r="E8" s="246" t="s">
        <v>75</v>
      </c>
      <c r="F8" s="119" t="s">
        <v>137</v>
      </c>
      <c r="G8" s="247"/>
      <c r="H8" s="248"/>
      <c r="I8" s="248">
        <v>0.14000000000000001</v>
      </c>
      <c r="J8" s="249"/>
      <c r="K8" s="98">
        <f t="shared" si="0"/>
        <v>1711.18</v>
      </c>
      <c r="L8" s="104"/>
      <c r="M8" s="4"/>
      <c r="N8" s="4"/>
      <c r="O8" s="4"/>
      <c r="P8" s="4"/>
      <c r="Q8" s="4"/>
      <c r="R8" s="4"/>
      <c r="S8" s="4"/>
      <c r="U8" s="120"/>
    </row>
    <row r="9" spans="1:26" s="105" customFormat="1" ht="34.9" customHeight="1">
      <c r="A9" s="26">
        <v>2025</v>
      </c>
      <c r="B9" s="101" t="s">
        <v>7</v>
      </c>
      <c r="C9" s="53"/>
      <c r="D9" s="53"/>
      <c r="E9" s="26"/>
      <c r="F9" s="109"/>
      <c r="G9" s="53" t="s">
        <v>32</v>
      </c>
      <c r="H9" s="53" t="s">
        <v>33</v>
      </c>
      <c r="I9" s="53"/>
      <c r="J9" s="110"/>
      <c r="K9" s="27">
        <f>K8+I9-J9</f>
        <v>1711.18</v>
      </c>
      <c r="L9" s="3"/>
      <c r="M9" s="4"/>
      <c r="N9" s="3"/>
      <c r="O9" s="3"/>
      <c r="P9" s="104"/>
      <c r="Q9" s="15"/>
      <c r="R9" s="4"/>
      <c r="S9" s="4"/>
      <c r="T9" s="4"/>
      <c r="U9" s="108"/>
      <c r="V9" s="4"/>
      <c r="W9" s="4"/>
      <c r="X9" s="4"/>
      <c r="Y9" s="4"/>
      <c r="Z9" s="4"/>
    </row>
    <row r="10" spans="1:26" s="4" customFormat="1" ht="34.9" customHeight="1">
      <c r="A10" s="252">
        <v>45870</v>
      </c>
      <c r="B10" s="251" t="s">
        <v>7</v>
      </c>
      <c r="C10" s="250"/>
      <c r="D10" s="97"/>
      <c r="E10" s="107" t="s">
        <v>11</v>
      </c>
      <c r="F10" s="128" t="s">
        <v>41</v>
      </c>
      <c r="G10" s="97"/>
      <c r="H10" s="5"/>
      <c r="I10" s="16"/>
      <c r="J10" s="54">
        <v>130</v>
      </c>
      <c r="K10" s="5">
        <f>K9+I10-J10</f>
        <v>1581.18</v>
      </c>
      <c r="L10" s="3"/>
      <c r="N10" s="111"/>
      <c r="O10" s="60"/>
      <c r="P10" s="104"/>
      <c r="Q10" s="15"/>
      <c r="U10" s="121"/>
    </row>
    <row r="11" spans="1:26" s="4" customFormat="1" ht="34.9" customHeight="1">
      <c r="A11" s="134">
        <v>45880</v>
      </c>
      <c r="B11" s="135" t="s">
        <v>7</v>
      </c>
      <c r="C11" s="137"/>
      <c r="D11" s="97"/>
      <c r="E11" s="107" t="s">
        <v>11</v>
      </c>
      <c r="F11" s="128" t="s">
        <v>41</v>
      </c>
      <c r="G11" s="97"/>
      <c r="H11" s="5"/>
      <c r="I11" s="16"/>
      <c r="J11" s="54">
        <v>5</v>
      </c>
      <c r="K11" s="5">
        <f>K10+I11-J11</f>
        <v>1576.18</v>
      </c>
      <c r="L11" s="3"/>
      <c r="N11" s="111"/>
      <c r="O11" s="60"/>
      <c r="P11" s="104"/>
      <c r="Q11" s="15"/>
      <c r="U11" s="121"/>
    </row>
    <row r="12" spans="1:26" s="4" customFormat="1" ht="34.9" customHeight="1">
      <c r="A12" s="134">
        <v>45889</v>
      </c>
      <c r="B12" s="135" t="s">
        <v>7</v>
      </c>
      <c r="C12" s="137"/>
      <c r="D12" s="97"/>
      <c r="E12" s="107" t="s">
        <v>11</v>
      </c>
      <c r="F12" s="128" t="s">
        <v>41</v>
      </c>
      <c r="G12" s="97"/>
      <c r="H12" s="5"/>
      <c r="I12" s="16"/>
      <c r="J12" s="54">
        <v>150</v>
      </c>
      <c r="K12" s="5">
        <f t="shared" ref="K12:K19" si="1">K11+I12-J12</f>
        <v>1426.18</v>
      </c>
      <c r="L12" s="3"/>
      <c r="N12" s="111"/>
      <c r="O12" s="60"/>
      <c r="P12" s="104"/>
      <c r="Q12" s="15"/>
      <c r="U12" s="121"/>
    </row>
    <row r="13" spans="1:26" s="4" customFormat="1" ht="34.9" customHeight="1">
      <c r="A13" s="134">
        <v>45889</v>
      </c>
      <c r="B13" s="135" t="s">
        <v>7</v>
      </c>
      <c r="C13" s="137"/>
      <c r="D13" s="97"/>
      <c r="E13" s="107" t="s">
        <v>11</v>
      </c>
      <c r="F13" s="128" t="s">
        <v>41</v>
      </c>
      <c r="G13" s="97"/>
      <c r="H13" s="5"/>
      <c r="I13" s="16"/>
      <c r="J13" s="54">
        <v>150</v>
      </c>
      <c r="K13" s="5">
        <f t="shared" si="1"/>
        <v>1276.18</v>
      </c>
      <c r="L13" s="3"/>
      <c r="N13" s="111"/>
      <c r="O13" s="60"/>
      <c r="P13" s="104"/>
      <c r="Q13" s="15"/>
      <c r="U13" s="121"/>
    </row>
    <row r="14" spans="1:26" s="4" customFormat="1" ht="34.9" customHeight="1">
      <c r="A14" s="134">
        <v>45890</v>
      </c>
      <c r="B14" s="135" t="s">
        <v>7</v>
      </c>
      <c r="C14" s="137"/>
      <c r="D14" s="113"/>
      <c r="E14" s="107" t="s">
        <v>76</v>
      </c>
      <c r="F14" s="128" t="s">
        <v>41</v>
      </c>
      <c r="G14" s="97"/>
      <c r="H14" s="5"/>
      <c r="I14" s="16"/>
      <c r="J14" s="54">
        <v>0.5</v>
      </c>
      <c r="K14" s="5">
        <f t="shared" si="1"/>
        <v>1275.68</v>
      </c>
      <c r="L14" s="3"/>
      <c r="N14" s="111"/>
      <c r="O14" s="60"/>
      <c r="P14" s="104"/>
      <c r="Q14" s="15"/>
      <c r="U14" s="121"/>
    </row>
    <row r="15" spans="1:26" s="4" customFormat="1" ht="34.9" customHeight="1">
      <c r="A15" s="134">
        <v>45890</v>
      </c>
      <c r="B15" s="135"/>
      <c r="C15" s="137"/>
      <c r="D15" s="113"/>
      <c r="E15" s="107"/>
      <c r="F15" s="128"/>
      <c r="G15" s="97"/>
      <c r="H15" s="5"/>
      <c r="I15" s="16"/>
      <c r="J15" s="54"/>
      <c r="K15" s="5">
        <f t="shared" si="1"/>
        <v>1275.68</v>
      </c>
      <c r="L15" s="3"/>
      <c r="N15" s="111"/>
      <c r="O15" s="60"/>
      <c r="P15" s="104"/>
      <c r="Q15" s="15"/>
      <c r="U15" s="121"/>
    </row>
    <row r="16" spans="1:26" s="4" customFormat="1" ht="34.9" customHeight="1">
      <c r="A16" s="134">
        <v>45890</v>
      </c>
      <c r="B16" s="135"/>
      <c r="C16" s="137"/>
      <c r="D16" s="136"/>
      <c r="E16" s="107"/>
      <c r="F16" s="128"/>
      <c r="G16" s="97"/>
      <c r="H16" s="5"/>
      <c r="I16" s="16"/>
      <c r="J16" s="54"/>
      <c r="K16" s="5">
        <f t="shared" si="1"/>
        <v>1275.68</v>
      </c>
      <c r="L16" s="3"/>
      <c r="N16" s="111"/>
      <c r="O16" s="60"/>
      <c r="P16" s="104"/>
      <c r="Q16" s="15"/>
      <c r="U16" s="121"/>
    </row>
    <row r="17" spans="1:26" s="4" customFormat="1" ht="34.9" customHeight="1">
      <c r="A17" s="134">
        <v>45894</v>
      </c>
      <c r="B17" s="135"/>
      <c r="C17" s="137"/>
      <c r="D17" s="113"/>
      <c r="E17" s="107"/>
      <c r="F17" s="128"/>
      <c r="G17" s="97"/>
      <c r="H17" s="5"/>
      <c r="I17" s="16"/>
      <c r="J17" s="54"/>
      <c r="K17" s="5">
        <f t="shared" si="1"/>
        <v>1275.68</v>
      </c>
      <c r="L17" s="3"/>
      <c r="N17" s="111"/>
      <c r="O17" s="60"/>
      <c r="P17" s="104"/>
      <c r="Q17" s="15"/>
      <c r="U17" s="121"/>
    </row>
    <row r="18" spans="1:26" s="4" customFormat="1" ht="34.9" customHeight="1">
      <c r="A18" s="134">
        <v>45894</v>
      </c>
      <c r="B18" s="135"/>
      <c r="C18" s="137"/>
      <c r="D18" s="113"/>
      <c r="E18" s="107"/>
      <c r="F18" s="128"/>
      <c r="G18" s="97"/>
      <c r="H18" s="5"/>
      <c r="I18" s="16"/>
      <c r="J18" s="54"/>
      <c r="K18" s="5">
        <f t="shared" si="1"/>
        <v>1275.68</v>
      </c>
      <c r="L18" s="3"/>
      <c r="N18" s="111"/>
      <c r="O18" s="60"/>
      <c r="P18" s="104"/>
      <c r="Q18" s="15"/>
      <c r="U18" s="121"/>
    </row>
    <row r="19" spans="1:26" s="4" customFormat="1" ht="34.9" customHeight="1">
      <c r="A19" s="134">
        <v>45899</v>
      </c>
      <c r="B19" s="135"/>
      <c r="C19" s="137"/>
      <c r="D19" s="113"/>
      <c r="E19" s="107"/>
      <c r="F19" s="128"/>
      <c r="G19" s="97"/>
      <c r="H19" s="5"/>
      <c r="I19" s="16"/>
      <c r="J19" s="54"/>
      <c r="K19" s="5">
        <f t="shared" si="1"/>
        <v>1275.68</v>
      </c>
      <c r="L19" s="3"/>
      <c r="N19" s="111"/>
      <c r="O19" s="60"/>
      <c r="P19" s="104"/>
      <c r="Q19" s="15"/>
      <c r="U19" s="121"/>
    </row>
    <row r="20" spans="1:26" ht="34.9" customHeight="1">
      <c r="A20" s="446" t="s">
        <v>9</v>
      </c>
      <c r="B20" s="446"/>
      <c r="C20" s="446"/>
      <c r="D20" s="446"/>
      <c r="E20" s="446"/>
      <c r="F20" s="446"/>
      <c r="G20" s="446"/>
      <c r="H20" s="6">
        <f>SUM(H6:H19)</f>
        <v>0</v>
      </c>
      <c r="I20" s="6">
        <f>SUM(I6:I19)</f>
        <v>500.13999999999993</v>
      </c>
      <c r="J20" s="51">
        <f>SUM(J6:J19)</f>
        <v>435.5</v>
      </c>
      <c r="K20" s="7">
        <f>K5+I20-J20</f>
        <v>1275.6799999999998</v>
      </c>
      <c r="L20" s="114"/>
      <c r="N20" s="115" t="s">
        <v>0</v>
      </c>
      <c r="O20" s="14" t="e">
        <f>SUMIF(#REF!,N20,$I$20:$I$20)</f>
        <v>#REF!</v>
      </c>
      <c r="P20" s="4"/>
      <c r="Q20" s="4"/>
      <c r="R20" s="4"/>
      <c r="S20" s="4"/>
      <c r="T20" s="4"/>
      <c r="U20" s="4"/>
      <c r="V20" s="108"/>
      <c r="W20" s="4"/>
      <c r="X20" s="15"/>
      <c r="Y20" s="4"/>
      <c r="Z20" s="4"/>
    </row>
    <row r="21" spans="1:26" ht="34.9" customHeight="1">
      <c r="A21" s="30"/>
      <c r="B21" s="64"/>
      <c r="C21" s="32"/>
      <c r="D21" s="33"/>
      <c r="E21" s="32"/>
      <c r="F21" s="32"/>
      <c r="G21" s="31"/>
      <c r="H21" s="34"/>
      <c r="I21" s="34"/>
      <c r="J21" s="34"/>
      <c r="K21" s="35"/>
      <c r="P21" s="4"/>
      <c r="Q21" s="4"/>
      <c r="R21" s="4"/>
      <c r="S21" s="4"/>
      <c r="T21" s="4"/>
      <c r="U21" s="108"/>
      <c r="V21" s="4"/>
      <c r="W21" s="4"/>
      <c r="X21" s="4"/>
      <c r="Y21" s="4"/>
      <c r="Z21" s="4"/>
    </row>
    <row r="22" spans="1:26" s="17" customFormat="1" ht="25.15" customHeight="1">
      <c r="A22" s="425" t="s">
        <v>136</v>
      </c>
      <c r="B22" s="425"/>
      <c r="C22" s="425"/>
      <c r="D22" s="153"/>
      <c r="E22" s="154" t="s">
        <v>39</v>
      </c>
      <c r="F22" s="37"/>
      <c r="G22" s="30"/>
      <c r="H22" s="37"/>
      <c r="I22" s="116"/>
      <c r="J22" s="449" t="s">
        <v>43</v>
      </c>
      <c r="K22" s="449"/>
      <c r="N22" s="18"/>
      <c r="O22" s="18"/>
    </row>
    <row r="23" spans="1:26" s="17" customFormat="1" ht="25.15" customHeight="1">
      <c r="A23" s="38"/>
      <c r="B23" s="66"/>
      <c r="C23" s="39"/>
      <c r="D23" s="36"/>
      <c r="E23" s="39"/>
      <c r="F23" s="39"/>
      <c r="G23" s="30"/>
      <c r="H23" s="37"/>
      <c r="I23" s="37"/>
      <c r="J23" s="137" t="s">
        <v>140</v>
      </c>
      <c r="K23" s="5"/>
      <c r="N23" s="18"/>
      <c r="O23" s="18"/>
      <c r="U23" s="139"/>
    </row>
    <row r="24" spans="1:26" s="17" customFormat="1" ht="25.15" customHeight="1">
      <c r="A24" s="39"/>
      <c r="B24" s="66"/>
      <c r="C24" s="39"/>
      <c r="D24" s="36"/>
      <c r="E24" s="30"/>
      <c r="F24" s="30"/>
      <c r="G24" s="30"/>
      <c r="H24" s="37"/>
      <c r="I24" s="37"/>
      <c r="J24" s="238"/>
      <c r="K24" s="117"/>
      <c r="N24" s="18"/>
      <c r="O24" s="18"/>
      <c r="U24" s="139"/>
    </row>
    <row r="25" spans="1:26" s="17" customFormat="1" ht="25.15" customHeight="1">
      <c r="A25" s="39"/>
      <c r="B25" s="66"/>
      <c r="C25" s="39"/>
      <c r="D25" s="36"/>
      <c r="E25" s="30"/>
      <c r="F25" s="30"/>
      <c r="G25" s="30"/>
      <c r="H25" s="37"/>
      <c r="I25" s="37"/>
      <c r="J25" s="238"/>
      <c r="K25" s="117"/>
      <c r="N25" s="18"/>
      <c r="O25" s="18"/>
      <c r="U25" s="139"/>
    </row>
    <row r="26" spans="1:26" s="17" customFormat="1" ht="25.15" customHeight="1">
      <c r="A26" s="71" t="s">
        <v>3</v>
      </c>
      <c r="B26" s="67"/>
      <c r="C26" s="40"/>
      <c r="D26" s="36"/>
      <c r="E26" s="71" t="s">
        <v>3</v>
      </c>
      <c r="F26" s="40"/>
      <c r="G26" s="40"/>
      <c r="H26" s="37"/>
      <c r="I26" s="37"/>
      <c r="J26" s="28" t="s">
        <v>9</v>
      </c>
      <c r="K26" s="28">
        <f>SUM(K23:K25)</f>
        <v>0</v>
      </c>
      <c r="N26" s="18"/>
      <c r="O26" s="18"/>
      <c r="U26" s="139"/>
      <c r="V26" s="138"/>
    </row>
    <row r="27" spans="1:26" s="17" customFormat="1" ht="25.15" customHeight="1">
      <c r="A27" s="41"/>
      <c r="B27" s="66"/>
      <c r="C27" s="39"/>
      <c r="D27" s="36"/>
      <c r="E27" s="39"/>
      <c r="F27" s="39"/>
      <c r="G27" s="30"/>
      <c r="H27" s="37"/>
      <c r="I27" s="37"/>
      <c r="J27" s="39"/>
      <c r="K27" s="39"/>
      <c r="N27" s="18"/>
      <c r="O27" s="18"/>
    </row>
    <row r="28" spans="1:26" s="17" customFormat="1" ht="25.15" customHeight="1">
      <c r="A28" s="71" t="s">
        <v>4</v>
      </c>
      <c r="B28" s="448">
        <v>45916</v>
      </c>
      <c r="C28" s="448"/>
      <c r="D28" s="36"/>
      <c r="E28" s="71" t="s">
        <v>4</v>
      </c>
      <c r="F28" s="40"/>
      <c r="G28" s="40"/>
      <c r="H28" s="37"/>
      <c r="I28" s="37"/>
      <c r="J28" s="28" t="s">
        <v>10</v>
      </c>
      <c r="K28" s="28">
        <f>K20-K26</f>
        <v>1275.6799999999998</v>
      </c>
      <c r="N28" s="18"/>
      <c r="O28" s="18"/>
      <c r="U28" s="138"/>
      <c r="V28" s="122"/>
    </row>
    <row r="29" spans="1:26" s="17" customFormat="1" ht="25.15" customHeight="1">
      <c r="A29" s="39"/>
      <c r="B29" s="66"/>
      <c r="C29" s="39"/>
      <c r="D29" s="36"/>
      <c r="E29" s="42"/>
      <c r="F29" s="42"/>
      <c r="G29" s="42"/>
      <c r="H29" s="39"/>
      <c r="I29" s="39"/>
      <c r="J29" s="39"/>
      <c r="K29" s="39"/>
      <c r="N29" s="18"/>
      <c r="O29" s="18"/>
    </row>
    <row r="30" spans="1:26" s="17" customFormat="1" ht="25.15" customHeight="1">
      <c r="A30" s="39"/>
      <c r="B30" s="66"/>
      <c r="C30" s="39"/>
      <c r="D30" s="36"/>
      <c r="E30" s="38"/>
      <c r="F30" s="38"/>
      <c r="G30" s="39"/>
      <c r="H30" s="39"/>
      <c r="I30" s="39"/>
      <c r="J30" s="44"/>
      <c r="K30" s="43"/>
      <c r="N30" s="18"/>
      <c r="O30" s="18"/>
    </row>
    <row r="31" spans="1:26" s="18" customFormat="1" ht="19.899999999999999" customHeight="1">
      <c r="A31" s="42"/>
      <c r="B31" s="66"/>
      <c r="C31" s="39"/>
      <c r="D31" s="36"/>
      <c r="E31" s="38"/>
      <c r="F31" s="38"/>
      <c r="G31" s="42"/>
      <c r="H31" s="42"/>
      <c r="I31" s="42"/>
      <c r="J31" s="44"/>
      <c r="K31" s="43"/>
    </row>
    <row r="32" spans="1:26" s="18" customFormat="1" ht="19.899999999999999" customHeight="1">
      <c r="A32" s="42"/>
      <c r="B32" s="66"/>
      <c r="C32" s="39"/>
      <c r="D32" s="36"/>
      <c r="E32" s="38"/>
      <c r="F32" s="38"/>
      <c r="G32" s="447" t="str">
        <f>A3</f>
        <v>ACCOUNT LEDGER FOR AUGUST 2019</v>
      </c>
      <c r="H32" s="447"/>
      <c r="I32" s="447"/>
      <c r="J32" s="44"/>
      <c r="K32" s="43"/>
    </row>
    <row r="33" spans="1:11" s="18" customFormat="1" ht="19.899999999999999" customHeight="1">
      <c r="A33" s="42"/>
      <c r="B33" s="66"/>
      <c r="C33" s="39"/>
      <c r="D33" s="36"/>
      <c r="E33" s="38"/>
      <c r="F33" s="38"/>
      <c r="G33" s="61" t="s">
        <v>23</v>
      </c>
      <c r="H33" s="48" t="s">
        <v>35</v>
      </c>
      <c r="I33" s="48" t="s">
        <v>36</v>
      </c>
      <c r="J33" s="44"/>
      <c r="K33" s="43"/>
    </row>
    <row r="34" spans="1:11" s="18" customFormat="1" ht="19.899999999999999" customHeight="1">
      <c r="A34" s="42"/>
      <c r="B34" s="66"/>
      <c r="C34" s="39"/>
      <c r="D34" s="36"/>
      <c r="E34" s="38"/>
      <c r="F34" s="38"/>
      <c r="G34" s="118" t="s">
        <v>143</v>
      </c>
      <c r="H34" s="57">
        <f>SUMIF($F$6:$F$16,G34,$I$6:$I$16)</f>
        <v>0</v>
      </c>
      <c r="I34" s="57"/>
      <c r="J34" s="44"/>
      <c r="K34" s="43"/>
    </row>
    <row r="35" spans="1:11" s="18" customFormat="1" ht="19.899999999999999" customHeight="1">
      <c r="A35" s="42"/>
      <c r="B35" s="66"/>
      <c r="C35" s="39"/>
      <c r="D35" s="36"/>
      <c r="E35" s="38"/>
      <c r="F35" s="38"/>
      <c r="G35" s="118" t="s">
        <v>131</v>
      </c>
      <c r="H35" s="57">
        <f>SUMIF($F$6:$F$16,G35,$I$6:$I$16)</f>
        <v>0</v>
      </c>
      <c r="I35" s="57"/>
      <c r="J35" s="44"/>
      <c r="K35" s="43"/>
    </row>
    <row r="36" spans="1:11" s="18" customFormat="1" ht="19.899999999999999" customHeight="1">
      <c r="A36" s="42"/>
      <c r="B36" s="66"/>
      <c r="C36" s="39"/>
      <c r="D36" s="36"/>
      <c r="E36" s="38"/>
      <c r="F36" s="38"/>
      <c r="G36" s="118" t="s">
        <v>63</v>
      </c>
      <c r="H36" s="57">
        <f>SUMIF($F$6:$F$16,G36,$I$6:$I$16)</f>
        <v>0</v>
      </c>
      <c r="I36" s="57"/>
      <c r="J36" s="44"/>
      <c r="K36" s="43"/>
    </row>
    <row r="37" spans="1:11" s="18" customFormat="1" ht="19.899999999999999" customHeight="1">
      <c r="A37" s="42"/>
      <c r="B37" s="66"/>
      <c r="C37" s="39"/>
      <c r="D37" s="36"/>
      <c r="E37" s="38"/>
      <c r="F37" s="38"/>
      <c r="G37" s="118" t="s">
        <v>135</v>
      </c>
      <c r="H37" s="57">
        <f>SUMIF($F$6:$F$19,G37,$I$6:$I$19)</f>
        <v>0</v>
      </c>
      <c r="I37" s="57"/>
      <c r="J37" s="44"/>
      <c r="K37" s="43"/>
    </row>
    <row r="38" spans="1:11" s="18" customFormat="1" ht="19.899999999999999" customHeight="1">
      <c r="A38" s="42"/>
      <c r="B38" s="66"/>
      <c r="C38" s="39"/>
      <c r="D38" s="36"/>
      <c r="E38" s="38"/>
      <c r="F38" s="38"/>
      <c r="G38" s="118" t="s">
        <v>37</v>
      </c>
      <c r="H38" s="57">
        <f>SUMIF($F$6:$F$16,G38,$I$6:$I$16)</f>
        <v>0</v>
      </c>
      <c r="I38" s="57"/>
      <c r="J38" s="44"/>
      <c r="K38" s="43"/>
    </row>
    <row r="39" spans="1:11" s="18" customFormat="1" ht="19.899999999999999" customHeight="1">
      <c r="A39" s="42"/>
      <c r="B39" s="66"/>
      <c r="C39" s="39"/>
      <c r="D39" s="36"/>
      <c r="E39" s="38"/>
      <c r="F39" s="38"/>
      <c r="G39" s="118" t="s">
        <v>142</v>
      </c>
      <c r="H39" s="57">
        <f>SUMIF($F$6:$F$16,G39,$I$6:$I$16)</f>
        <v>0</v>
      </c>
      <c r="I39" s="57"/>
      <c r="J39" s="44"/>
      <c r="K39" s="43"/>
    </row>
    <row r="40" spans="1:11" s="18" customFormat="1" ht="19.899999999999999" customHeight="1">
      <c r="A40" s="42"/>
      <c r="B40" s="66"/>
      <c r="C40" s="39"/>
      <c r="D40" s="36"/>
      <c r="E40" s="38"/>
      <c r="F40" s="38"/>
      <c r="G40" s="118" t="s">
        <v>46</v>
      </c>
      <c r="H40" s="57">
        <f>SUMIF($F$6:$F$16,G40,$I$6:$I$16)</f>
        <v>0</v>
      </c>
      <c r="I40" s="57"/>
      <c r="J40" s="44"/>
      <c r="K40" s="43"/>
    </row>
    <row r="41" spans="1:11" s="18" customFormat="1" ht="19.899999999999999" customHeight="1">
      <c r="A41" s="42"/>
      <c r="B41" s="66"/>
      <c r="C41" s="39"/>
      <c r="D41" s="36"/>
      <c r="E41" s="38"/>
      <c r="F41" s="38"/>
      <c r="G41" s="118" t="s">
        <v>137</v>
      </c>
      <c r="H41" s="57">
        <f>SUMIF($F$6:$F$19,G41,$I$6:$I$19)</f>
        <v>500.13999999999993</v>
      </c>
      <c r="I41" s="57"/>
      <c r="J41" s="44"/>
      <c r="K41" s="43"/>
    </row>
    <row r="42" spans="1:11" s="18" customFormat="1" ht="19.899999999999999" customHeight="1">
      <c r="A42" s="42"/>
      <c r="B42" s="66"/>
      <c r="C42" s="39"/>
      <c r="D42" s="36"/>
      <c r="E42" s="38"/>
      <c r="F42" s="38"/>
      <c r="G42" s="62" t="s">
        <v>144</v>
      </c>
      <c r="H42" s="50"/>
      <c r="I42" s="50">
        <f t="shared" ref="I42:I73" si="2">SUMIF($F$6:$F$16,G42,$J$6:$J$16)</f>
        <v>0</v>
      </c>
      <c r="J42" s="44"/>
      <c r="K42" s="43"/>
    </row>
    <row r="43" spans="1:11" s="18" customFormat="1" ht="19.899999999999999" customHeight="1">
      <c r="A43" s="42"/>
      <c r="B43" s="66"/>
      <c r="C43" s="39"/>
      <c r="D43" s="36"/>
      <c r="E43" s="38"/>
      <c r="F43" s="38"/>
      <c r="G43" s="62" t="s">
        <v>63</v>
      </c>
      <c r="H43" s="50"/>
      <c r="I43" s="50">
        <f t="shared" si="2"/>
        <v>0</v>
      </c>
      <c r="J43" s="44"/>
      <c r="K43" s="43"/>
    </row>
    <row r="44" spans="1:11" s="18" customFormat="1" ht="19.899999999999999" customHeight="1">
      <c r="A44" s="42"/>
      <c r="B44" s="66"/>
      <c r="C44" s="39"/>
      <c r="D44" s="36"/>
      <c r="E44" s="38"/>
      <c r="F44" s="38"/>
      <c r="G44" s="62" t="s">
        <v>150</v>
      </c>
      <c r="H44" s="50"/>
      <c r="I44" s="50">
        <f t="shared" si="2"/>
        <v>0</v>
      </c>
      <c r="J44" s="44"/>
      <c r="K44" s="43"/>
    </row>
    <row r="45" spans="1:11" s="18" customFormat="1" ht="19.899999999999999" customHeight="1">
      <c r="A45" s="42"/>
      <c r="B45" s="66"/>
      <c r="C45" s="39"/>
      <c r="D45" s="36"/>
      <c r="E45" s="38"/>
      <c r="F45" s="38"/>
      <c r="G45" s="62" t="s">
        <v>132</v>
      </c>
      <c r="H45" s="50"/>
      <c r="I45" s="50">
        <f t="shared" si="2"/>
        <v>0</v>
      </c>
      <c r="J45" s="44"/>
      <c r="K45" s="43"/>
    </row>
    <row r="46" spans="1:11" s="18" customFormat="1" ht="19.899999999999999" customHeight="1">
      <c r="A46" s="42"/>
      <c r="B46" s="66"/>
      <c r="C46" s="39"/>
      <c r="D46" s="36"/>
      <c r="E46" s="38"/>
      <c r="F46" s="38"/>
      <c r="G46" s="62" t="s">
        <v>12</v>
      </c>
      <c r="H46" s="50"/>
      <c r="I46" s="50">
        <f t="shared" si="2"/>
        <v>0</v>
      </c>
      <c r="J46" s="44"/>
      <c r="K46" s="43"/>
    </row>
    <row r="47" spans="1:11" s="18" customFormat="1" ht="19.899999999999999" customHeight="1">
      <c r="A47" s="42"/>
      <c r="B47" s="66"/>
      <c r="C47" s="39"/>
      <c r="D47" s="36"/>
      <c r="E47" s="38"/>
      <c r="F47" s="38"/>
      <c r="G47" s="62" t="s">
        <v>139</v>
      </c>
      <c r="H47" s="50"/>
      <c r="I47" s="50">
        <f t="shared" si="2"/>
        <v>0</v>
      </c>
      <c r="J47" s="44"/>
      <c r="K47" s="43"/>
    </row>
    <row r="48" spans="1:11" s="18" customFormat="1" ht="19.899999999999999" customHeight="1">
      <c r="A48" s="42"/>
      <c r="B48" s="66"/>
      <c r="C48" s="39"/>
      <c r="D48" s="36"/>
      <c r="E48" s="38"/>
      <c r="F48" s="38"/>
      <c r="G48" s="62" t="s">
        <v>57</v>
      </c>
      <c r="H48" s="50"/>
      <c r="I48" s="50">
        <f t="shared" si="2"/>
        <v>0</v>
      </c>
      <c r="J48" s="44"/>
      <c r="K48" s="43"/>
    </row>
    <row r="49" spans="1:11" s="18" customFormat="1" ht="19.899999999999999" customHeight="1">
      <c r="A49" s="42"/>
      <c r="B49" s="66"/>
      <c r="C49" s="39"/>
      <c r="D49" s="36"/>
      <c r="E49" s="38"/>
      <c r="F49" s="38"/>
      <c r="G49" s="62" t="s">
        <v>153</v>
      </c>
      <c r="H49" s="50"/>
      <c r="I49" s="50">
        <f t="shared" si="2"/>
        <v>0</v>
      </c>
      <c r="J49" s="44"/>
      <c r="K49" s="43"/>
    </row>
    <row r="50" spans="1:11" s="18" customFormat="1" ht="19.899999999999999" customHeight="1">
      <c r="A50" s="42"/>
      <c r="B50" s="66"/>
      <c r="C50" s="39"/>
      <c r="D50" s="36"/>
      <c r="E50" s="38"/>
      <c r="F50" s="38"/>
      <c r="G50" s="62" t="s">
        <v>148</v>
      </c>
      <c r="H50" s="50"/>
      <c r="I50" s="50">
        <f t="shared" si="2"/>
        <v>0</v>
      </c>
      <c r="J50" s="44"/>
      <c r="K50" s="43"/>
    </row>
    <row r="51" spans="1:11" s="18" customFormat="1" ht="19.899999999999999" customHeight="1">
      <c r="A51" s="42"/>
      <c r="B51" s="66"/>
      <c r="C51" s="39"/>
      <c r="D51" s="36"/>
      <c r="E51" s="38"/>
      <c r="F51" s="38"/>
      <c r="G51" s="62" t="s">
        <v>42</v>
      </c>
      <c r="H51" s="50"/>
      <c r="I51" s="50">
        <f t="shared" si="2"/>
        <v>0</v>
      </c>
      <c r="J51" s="44"/>
      <c r="K51" s="43"/>
    </row>
    <row r="52" spans="1:11" s="18" customFormat="1" ht="19.899999999999999" customHeight="1">
      <c r="A52" s="42"/>
      <c r="B52" s="66"/>
      <c r="C52" s="39"/>
      <c r="D52" s="36"/>
      <c r="E52" s="38"/>
      <c r="F52" s="38"/>
      <c r="G52" s="62" t="s">
        <v>134</v>
      </c>
      <c r="H52" s="50"/>
      <c r="I52" s="50">
        <f t="shared" si="2"/>
        <v>0</v>
      </c>
      <c r="J52" s="44"/>
      <c r="K52" s="43"/>
    </row>
    <row r="53" spans="1:11" s="18" customFormat="1" ht="19.899999999999999" customHeight="1">
      <c r="A53" s="42"/>
      <c r="B53" s="66"/>
      <c r="C53" s="39"/>
      <c r="D53" s="36"/>
      <c r="E53" s="38"/>
      <c r="F53" s="38"/>
      <c r="G53" s="62" t="s">
        <v>1</v>
      </c>
      <c r="H53" s="50"/>
      <c r="I53" s="50">
        <f t="shared" si="2"/>
        <v>0</v>
      </c>
      <c r="J53" s="44"/>
      <c r="K53" s="43"/>
    </row>
    <row r="54" spans="1:11" s="18" customFormat="1" ht="19.899999999999999" customHeight="1">
      <c r="A54" s="42"/>
      <c r="B54" s="66"/>
      <c r="C54" s="39"/>
      <c r="D54" s="36"/>
      <c r="E54" s="38"/>
      <c r="F54" s="38"/>
      <c r="G54" s="62" t="s">
        <v>145</v>
      </c>
      <c r="H54" s="50"/>
      <c r="I54" s="50">
        <f t="shared" si="2"/>
        <v>0</v>
      </c>
      <c r="J54" s="44"/>
      <c r="K54" s="43"/>
    </row>
    <row r="55" spans="1:11" s="18" customFormat="1" ht="19.899999999999999" customHeight="1">
      <c r="A55" s="42"/>
      <c r="B55" s="66"/>
      <c r="C55" s="39"/>
      <c r="D55" s="36"/>
      <c r="E55" s="38"/>
      <c r="F55" s="38"/>
      <c r="G55" s="62" t="s">
        <v>147</v>
      </c>
      <c r="H55" s="50"/>
      <c r="I55" s="50">
        <f t="shared" si="2"/>
        <v>0</v>
      </c>
      <c r="J55" s="44"/>
      <c r="K55" s="43"/>
    </row>
    <row r="56" spans="1:11" s="18" customFormat="1" ht="19.899999999999999" customHeight="1">
      <c r="A56" s="42"/>
      <c r="B56" s="66"/>
      <c r="C56" s="39"/>
      <c r="D56" s="36"/>
      <c r="E56" s="38"/>
      <c r="F56" s="38"/>
      <c r="G56" s="62" t="s">
        <v>149</v>
      </c>
      <c r="H56" s="50"/>
      <c r="I56" s="50">
        <f t="shared" si="2"/>
        <v>0</v>
      </c>
      <c r="J56" s="44"/>
      <c r="K56" s="43"/>
    </row>
    <row r="57" spans="1:11" s="18" customFormat="1" ht="19.899999999999999" customHeight="1">
      <c r="A57" s="42"/>
      <c r="B57" s="66"/>
      <c r="C57" s="39"/>
      <c r="D57" s="36"/>
      <c r="E57" s="38"/>
      <c r="F57" s="38"/>
      <c r="G57" s="62" t="s">
        <v>56</v>
      </c>
      <c r="H57" s="50"/>
      <c r="I57" s="50">
        <f t="shared" si="2"/>
        <v>0</v>
      </c>
      <c r="J57" s="44"/>
      <c r="K57" s="43"/>
    </row>
    <row r="58" spans="1:11" s="18" customFormat="1" ht="19.899999999999999" customHeight="1">
      <c r="A58" s="42"/>
      <c r="B58" s="66"/>
      <c r="C58" s="39"/>
      <c r="D58" s="36"/>
      <c r="E58" s="38"/>
      <c r="F58" s="38"/>
      <c r="G58" s="62" t="s">
        <v>40</v>
      </c>
      <c r="H58" s="50"/>
      <c r="I58" s="50">
        <f t="shared" si="2"/>
        <v>0</v>
      </c>
      <c r="J58" s="44"/>
      <c r="K58" s="43"/>
    </row>
    <row r="59" spans="1:11" s="18" customFormat="1" ht="19.899999999999999" customHeight="1">
      <c r="A59" s="42"/>
      <c r="B59" s="66"/>
      <c r="C59" s="39"/>
      <c r="D59" s="36"/>
      <c r="E59" s="38"/>
      <c r="F59" s="38"/>
      <c r="G59" s="62" t="s">
        <v>84</v>
      </c>
      <c r="H59" s="50"/>
      <c r="I59" s="50">
        <f t="shared" si="2"/>
        <v>0</v>
      </c>
      <c r="J59" s="44"/>
      <c r="K59" s="43"/>
    </row>
    <row r="60" spans="1:11" s="18" customFormat="1" ht="19.899999999999999" customHeight="1">
      <c r="A60" s="42"/>
      <c r="B60" s="66"/>
      <c r="C60" s="39"/>
      <c r="D60" s="36"/>
      <c r="E60" s="38"/>
      <c r="F60" s="38"/>
      <c r="G60" s="62" t="s">
        <v>130</v>
      </c>
      <c r="H60" s="50"/>
      <c r="I60" s="50">
        <f t="shared" si="2"/>
        <v>0</v>
      </c>
      <c r="J60" s="44"/>
      <c r="K60" s="43"/>
    </row>
    <row r="61" spans="1:11" s="18" customFormat="1" ht="19.899999999999999" customHeight="1">
      <c r="A61" s="42"/>
      <c r="B61" s="66"/>
      <c r="C61" s="39"/>
      <c r="D61" s="36"/>
      <c r="E61" s="38"/>
      <c r="F61" s="38"/>
      <c r="G61" s="62" t="s">
        <v>133</v>
      </c>
      <c r="H61" s="50"/>
      <c r="I61" s="50">
        <f t="shared" si="2"/>
        <v>0</v>
      </c>
      <c r="J61" s="44"/>
      <c r="K61" s="43"/>
    </row>
    <row r="62" spans="1:11" s="18" customFormat="1" ht="19.899999999999999" customHeight="1">
      <c r="A62" s="42"/>
      <c r="B62" s="66"/>
      <c r="C62" s="39"/>
      <c r="D62" s="36"/>
      <c r="E62" s="38"/>
      <c r="F62" s="38"/>
      <c r="G62" s="62" t="s">
        <v>146</v>
      </c>
      <c r="H62" s="50"/>
      <c r="I62" s="50">
        <f t="shared" si="2"/>
        <v>0</v>
      </c>
      <c r="J62" s="44"/>
      <c r="K62" s="43"/>
    </row>
    <row r="63" spans="1:11" s="18" customFormat="1" ht="19.899999999999999" customHeight="1">
      <c r="A63" s="42"/>
      <c r="B63" s="66"/>
      <c r="C63" s="39"/>
      <c r="D63" s="36"/>
      <c r="E63" s="38"/>
      <c r="F63" s="38"/>
      <c r="G63" s="62" t="s">
        <v>62</v>
      </c>
      <c r="H63" s="50"/>
      <c r="I63" s="50">
        <f t="shared" si="2"/>
        <v>0</v>
      </c>
      <c r="J63" s="44"/>
      <c r="K63" s="43"/>
    </row>
    <row r="64" spans="1:11" s="18" customFormat="1" ht="19.899999999999999" customHeight="1">
      <c r="A64" s="42"/>
      <c r="B64" s="66"/>
      <c r="C64" s="39"/>
      <c r="D64" s="36"/>
      <c r="E64" s="38"/>
      <c r="F64" s="38"/>
      <c r="G64" s="62" t="s">
        <v>38</v>
      </c>
      <c r="H64" s="50"/>
      <c r="I64" s="50">
        <f t="shared" si="2"/>
        <v>0</v>
      </c>
      <c r="J64" s="44"/>
      <c r="K64" s="43"/>
    </row>
    <row r="65" spans="1:11" s="18" customFormat="1" ht="19.899999999999999" customHeight="1">
      <c r="A65" s="42"/>
      <c r="B65" s="66"/>
      <c r="C65" s="39"/>
      <c r="D65" s="36"/>
      <c r="E65" s="38"/>
      <c r="F65" s="38"/>
      <c r="G65" s="62" t="s">
        <v>29</v>
      </c>
      <c r="H65" s="50"/>
      <c r="I65" s="50">
        <f t="shared" si="2"/>
        <v>0</v>
      </c>
      <c r="J65" s="44"/>
      <c r="K65" s="43"/>
    </row>
    <row r="66" spans="1:11" s="18" customFormat="1" ht="19.899999999999999" customHeight="1">
      <c r="A66" s="42"/>
      <c r="B66" s="66"/>
      <c r="C66" s="39"/>
      <c r="D66" s="36"/>
      <c r="E66" s="38"/>
      <c r="F66" s="38"/>
      <c r="G66" s="62" t="s">
        <v>48</v>
      </c>
      <c r="H66" s="50"/>
      <c r="I66" s="50">
        <f t="shared" si="2"/>
        <v>0</v>
      </c>
      <c r="J66" s="44"/>
      <c r="K66" s="43"/>
    </row>
    <row r="67" spans="1:11" s="18" customFormat="1" ht="19.899999999999999" customHeight="1">
      <c r="A67" s="42"/>
      <c r="B67" s="66"/>
      <c r="C67" s="39"/>
      <c r="D67" s="36"/>
      <c r="E67" s="38"/>
      <c r="F67" s="38"/>
      <c r="G67" s="62" t="s">
        <v>55</v>
      </c>
      <c r="H67" s="50"/>
      <c r="I67" s="50">
        <f t="shared" si="2"/>
        <v>0</v>
      </c>
      <c r="J67" s="44"/>
      <c r="K67" s="43"/>
    </row>
    <row r="68" spans="1:11" s="18" customFormat="1" ht="19.899999999999999" customHeight="1">
      <c r="A68" s="42"/>
      <c r="B68" s="66"/>
      <c r="C68" s="39"/>
      <c r="D68" s="36"/>
      <c r="E68" s="38"/>
      <c r="F68" s="38"/>
      <c r="G68" s="62" t="s">
        <v>41</v>
      </c>
      <c r="H68" s="50"/>
      <c r="I68" s="50">
        <f t="shared" si="2"/>
        <v>435.5</v>
      </c>
      <c r="J68" s="44"/>
      <c r="K68" s="43"/>
    </row>
    <row r="69" spans="1:11" s="18" customFormat="1" ht="19.899999999999999" customHeight="1">
      <c r="A69" s="42"/>
      <c r="B69" s="66"/>
      <c r="C69" s="39"/>
      <c r="D69" s="36"/>
      <c r="E69" s="38"/>
      <c r="F69" s="38"/>
      <c r="G69" s="45" t="s">
        <v>58</v>
      </c>
      <c r="H69" s="50"/>
      <c r="I69" s="50">
        <f t="shared" si="2"/>
        <v>0</v>
      </c>
      <c r="J69" s="44"/>
      <c r="K69" s="43"/>
    </row>
    <row r="70" spans="1:11" s="18" customFormat="1" ht="19.899999999999999" customHeight="1">
      <c r="A70" s="42"/>
      <c r="B70" s="66"/>
      <c r="C70" s="39"/>
      <c r="D70" s="36"/>
      <c r="E70" s="38"/>
      <c r="F70" s="38"/>
      <c r="G70" s="62" t="s">
        <v>25</v>
      </c>
      <c r="H70" s="50"/>
      <c r="I70" s="50">
        <f t="shared" si="2"/>
        <v>0</v>
      </c>
      <c r="J70" s="49"/>
      <c r="K70" s="43"/>
    </row>
    <row r="71" spans="1:11" s="18" customFormat="1" ht="19.899999999999999" customHeight="1">
      <c r="A71" s="42"/>
      <c r="B71" s="66"/>
      <c r="C71" s="39"/>
      <c r="D71" s="36"/>
      <c r="E71" s="38"/>
      <c r="F71" s="38"/>
      <c r="G71" s="62" t="s">
        <v>151</v>
      </c>
      <c r="H71" s="50"/>
      <c r="I71" s="50">
        <f t="shared" si="2"/>
        <v>0</v>
      </c>
      <c r="J71" s="44"/>
      <c r="K71" s="46"/>
    </row>
    <row r="72" spans="1:11" s="18" customFormat="1" ht="19.899999999999999" customHeight="1">
      <c r="A72" s="42"/>
      <c r="B72" s="66"/>
      <c r="C72" s="39"/>
      <c r="D72" s="36"/>
      <c r="E72" s="38"/>
      <c r="F72" s="38"/>
      <c r="G72" s="62" t="s">
        <v>138</v>
      </c>
      <c r="H72" s="50"/>
      <c r="I72" s="50">
        <f t="shared" si="2"/>
        <v>0</v>
      </c>
      <c r="J72" s="44"/>
      <c r="K72" s="46"/>
    </row>
    <row r="73" spans="1:11" s="18" customFormat="1" ht="19.899999999999999" customHeight="1">
      <c r="A73" s="42"/>
      <c r="B73" s="66"/>
      <c r="C73" s="39"/>
      <c r="D73" s="36"/>
      <c r="E73" s="444"/>
      <c r="F73" s="445"/>
      <c r="G73" s="62" t="s">
        <v>152</v>
      </c>
      <c r="H73" s="50"/>
      <c r="I73" s="50">
        <f t="shared" si="2"/>
        <v>0</v>
      </c>
      <c r="J73" s="44"/>
      <c r="K73" s="46"/>
    </row>
    <row r="74" spans="1:11" s="18" customFormat="1" ht="25.15" customHeight="1">
      <c r="A74" s="42"/>
      <c r="B74" s="66"/>
      <c r="C74" s="39"/>
      <c r="D74" s="36"/>
      <c r="E74" s="38"/>
      <c r="F74" s="38"/>
      <c r="G74" s="63" t="s">
        <v>28</v>
      </c>
      <c r="H74" s="47">
        <f>SUM(H34:H73)</f>
        <v>500.13999999999993</v>
      </c>
      <c r="I74" s="47">
        <f>SUM(I42:I73)</f>
        <v>435.5</v>
      </c>
      <c r="J74" s="21"/>
      <c r="K74" s="22"/>
    </row>
    <row r="75" spans="1:11" s="18" customFormat="1" ht="25.15" customHeight="1">
      <c r="B75" s="66"/>
      <c r="C75" s="39"/>
      <c r="D75" s="36"/>
      <c r="E75" s="11"/>
      <c r="F75" s="11"/>
      <c r="G75" s="29"/>
      <c r="H75" s="58">
        <f>I20-H74</f>
        <v>0</v>
      </c>
      <c r="I75" s="58">
        <f>J20-I74</f>
        <v>0</v>
      </c>
      <c r="J75" s="21"/>
      <c r="K75" s="22"/>
    </row>
    <row r="76" spans="1:11" s="18" customFormat="1" ht="25.15" customHeight="1">
      <c r="A76" s="30"/>
      <c r="B76" s="66"/>
      <c r="C76" s="39"/>
      <c r="D76" s="36"/>
      <c r="E76" s="11"/>
      <c r="F76" s="11"/>
      <c r="G76" s="3"/>
      <c r="H76" s="23"/>
      <c r="I76" s="23"/>
      <c r="J76" s="21"/>
      <c r="K76" s="22"/>
    </row>
    <row r="77" spans="1:11" s="18" customFormat="1" ht="25.15" customHeight="1">
      <c r="A77" s="13"/>
      <c r="B77" s="66"/>
      <c r="C77" s="39"/>
      <c r="D77" s="36"/>
      <c r="E77" s="11"/>
      <c r="F77" s="11"/>
      <c r="G77" s="3"/>
      <c r="H77" s="23"/>
      <c r="I77" s="23"/>
      <c r="J77" s="21"/>
      <c r="K77" s="22"/>
    </row>
    <row r="78" spans="1:11" s="18" customFormat="1" ht="25.15" customHeight="1">
      <c r="A78" s="11"/>
      <c r="B78" s="66"/>
      <c r="C78" s="39"/>
      <c r="D78" s="36"/>
      <c r="E78" s="11"/>
      <c r="F78" s="11"/>
      <c r="G78" s="3"/>
      <c r="H78" s="23"/>
      <c r="I78" s="23"/>
      <c r="J78" s="21"/>
      <c r="K78" s="22"/>
    </row>
    <row r="79" spans="1:11" s="18" customFormat="1" ht="25.15" customHeight="1">
      <c r="A79" s="11"/>
      <c r="B79" s="66"/>
      <c r="C79" s="39"/>
      <c r="D79" s="36"/>
      <c r="E79" s="11"/>
      <c r="F79" s="11"/>
      <c r="G79" s="3"/>
      <c r="H79" s="23"/>
      <c r="I79" s="23"/>
      <c r="J79" s="21"/>
      <c r="K79" s="22"/>
    </row>
    <row r="80" spans="1:11" s="18" customFormat="1" ht="25.15" customHeight="1">
      <c r="A80" s="11"/>
      <c r="B80" s="68"/>
      <c r="C80" s="11"/>
      <c r="D80" s="12"/>
      <c r="E80" s="11"/>
      <c r="F80" s="11"/>
      <c r="G80" s="3"/>
      <c r="H80" s="23"/>
      <c r="I80" s="23"/>
      <c r="J80" s="21"/>
      <c r="K80" s="22"/>
    </row>
    <row r="81" spans="1:11" s="18" customFormat="1" ht="25.15" customHeight="1">
      <c r="A81" s="11"/>
      <c r="B81" s="68"/>
      <c r="C81" s="11"/>
      <c r="D81" s="12"/>
      <c r="E81" s="11"/>
      <c r="F81" s="11"/>
      <c r="G81" s="3"/>
      <c r="H81" s="23"/>
      <c r="I81" s="23"/>
      <c r="J81" s="21"/>
      <c r="K81" s="22"/>
    </row>
    <row r="82" spans="1:11" s="18" customFormat="1" ht="25.15" customHeight="1">
      <c r="A82" s="11"/>
      <c r="B82" s="68"/>
      <c r="C82" s="11"/>
      <c r="D82" s="12"/>
      <c r="E82" s="11"/>
      <c r="F82" s="11"/>
      <c r="G82" s="3"/>
      <c r="H82" s="23"/>
      <c r="I82" s="23"/>
      <c r="J82" s="21"/>
      <c r="K82" s="22"/>
    </row>
    <row r="83" spans="1:11" s="18" customFormat="1" ht="25.15" customHeight="1">
      <c r="A83" s="11"/>
      <c r="B83" s="68"/>
      <c r="C83" s="11"/>
      <c r="D83" s="12"/>
      <c r="E83" s="11"/>
      <c r="F83" s="11"/>
      <c r="G83" s="3"/>
      <c r="H83" s="23"/>
      <c r="I83" s="23"/>
      <c r="J83" s="21"/>
      <c r="K83" s="22"/>
    </row>
    <row r="84" spans="1:11" s="18" customFormat="1" ht="25.15" customHeight="1">
      <c r="A84" s="11"/>
      <c r="B84" s="68"/>
      <c r="C84" s="11"/>
      <c r="D84" s="12"/>
      <c r="E84" s="11"/>
      <c r="F84" s="11"/>
      <c r="G84" s="3"/>
      <c r="H84" s="23"/>
      <c r="I84" s="23"/>
      <c r="J84" s="21"/>
      <c r="K84" s="22"/>
    </row>
    <row r="85" spans="1:11" s="18" customFormat="1" ht="25.15" customHeight="1">
      <c r="A85" s="11"/>
      <c r="B85" s="68"/>
      <c r="C85" s="11"/>
      <c r="D85" s="12"/>
      <c r="E85" s="11"/>
      <c r="F85" s="11"/>
      <c r="G85" s="3"/>
      <c r="H85" s="23"/>
      <c r="I85" s="23"/>
      <c r="J85" s="21"/>
      <c r="K85" s="22"/>
    </row>
    <row r="86" spans="1:11" s="18" customFormat="1" ht="25.15" customHeight="1">
      <c r="A86" s="11"/>
      <c r="B86" s="68"/>
      <c r="C86" s="11"/>
      <c r="D86" s="12"/>
      <c r="E86" s="11"/>
      <c r="F86" s="11"/>
      <c r="G86" s="3"/>
      <c r="H86" s="23"/>
      <c r="I86" s="23"/>
      <c r="J86" s="21"/>
      <c r="K86" s="22"/>
    </row>
    <row r="87" spans="1:11" s="18" customFormat="1" ht="25.15" customHeight="1">
      <c r="A87" s="11"/>
      <c r="B87" s="68"/>
      <c r="C87" s="11"/>
      <c r="D87" s="12"/>
      <c r="E87" s="11"/>
      <c r="F87" s="11"/>
      <c r="G87" s="3"/>
      <c r="H87" s="23"/>
      <c r="I87" s="23"/>
      <c r="J87" s="21"/>
      <c r="K87" s="22"/>
    </row>
    <row r="88" spans="1:11" s="18" customFormat="1" ht="25.15" customHeight="1">
      <c r="A88" s="11"/>
      <c r="B88" s="68"/>
      <c r="C88" s="11"/>
      <c r="D88" s="12"/>
      <c r="E88" s="11"/>
      <c r="F88" s="11"/>
      <c r="G88" s="3"/>
      <c r="H88" s="23"/>
      <c r="I88" s="23"/>
      <c r="J88" s="20"/>
      <c r="K88" s="20"/>
    </row>
    <row r="89" spans="1:11" s="18" customFormat="1" ht="25.15" customHeight="1">
      <c r="A89" s="11"/>
      <c r="B89" s="68"/>
      <c r="C89" s="11"/>
      <c r="D89" s="12"/>
      <c r="E89" s="11"/>
      <c r="F89" s="11"/>
      <c r="G89" s="3"/>
      <c r="H89" s="23"/>
      <c r="I89" s="23"/>
      <c r="J89" s="20"/>
      <c r="K89" s="20"/>
    </row>
    <row r="90" spans="1:11" s="18" customFormat="1" ht="25.15" customHeight="1">
      <c r="A90" s="11"/>
      <c r="B90" s="68"/>
      <c r="C90" s="11"/>
      <c r="D90" s="12"/>
      <c r="E90" s="11"/>
      <c r="F90" s="11"/>
      <c r="G90" s="3"/>
      <c r="H90" s="23"/>
      <c r="I90" s="23"/>
      <c r="J90" s="20"/>
      <c r="K90" s="20"/>
    </row>
    <row r="91" spans="1:11" s="18" customFormat="1" ht="25.15" customHeight="1">
      <c r="A91" s="11"/>
      <c r="B91" s="68"/>
      <c r="C91" s="11"/>
      <c r="D91" s="12"/>
      <c r="E91" s="11"/>
      <c r="F91" s="11"/>
      <c r="G91" s="3"/>
      <c r="H91" s="23"/>
      <c r="I91" s="23"/>
      <c r="J91" s="23"/>
      <c r="K91" s="23"/>
    </row>
    <row r="92" spans="1:11" s="18" customFormat="1" ht="25.15" customHeight="1">
      <c r="A92" s="11"/>
      <c r="B92" s="68"/>
      <c r="C92" s="11"/>
      <c r="D92" s="12"/>
      <c r="E92" s="11"/>
      <c r="F92" s="11"/>
      <c r="G92" s="3"/>
      <c r="H92" s="23"/>
      <c r="I92" s="23"/>
      <c r="J92" s="23"/>
      <c r="K92" s="23"/>
    </row>
  </sheetData>
  <autoFilter ref="A5:K20" xr:uid="{00000000-0009-0000-0000-000002000000}"/>
  <dataConsolidate/>
  <mergeCells count="14">
    <mergeCell ref="A1:K1"/>
    <mergeCell ref="A2:K2"/>
    <mergeCell ref="A3:L3"/>
    <mergeCell ref="E73:F73"/>
    <mergeCell ref="A20:G20"/>
    <mergeCell ref="A22:C22"/>
    <mergeCell ref="G32:I32"/>
    <mergeCell ref="B28:C28"/>
    <mergeCell ref="J22:K22"/>
    <mergeCell ref="E6:E7"/>
    <mergeCell ref="D6:D7"/>
    <mergeCell ref="C6:C7"/>
    <mergeCell ref="B6:B7"/>
    <mergeCell ref="A6:A7"/>
  </mergeCells>
  <phoneticPr fontId="41" type="noConversion"/>
  <dataValidations count="2">
    <dataValidation type="list" allowBlank="1" showInputMessage="1" showErrorMessage="1" sqref="B8 B6 B10:B19" xr:uid="{00000000-0002-0000-0200-000003000000}">
      <formula1>"PAYMENT,RECEIPT"</formula1>
    </dataValidation>
    <dataValidation type="list" allowBlank="1" showInputMessage="1" showErrorMessage="1" sqref="F6:F19" xr:uid="{00000000-0002-0000-0200-000002000000}">
      <formula1>$G$34:$G$73</formula1>
    </dataValidation>
  </dataValidations>
  <printOptions horizontalCentered="1"/>
  <pageMargins left="0" right="0" top="0.5" bottom="0.5" header="0" footer="0"/>
  <pageSetup paperSize="9" scale="60" fitToHeight="0" orientation="landscape" r:id="rId1"/>
  <headerFooter alignWithMargins="0">
    <oddHeader>&amp;R&amp;"Calibri"&amp;11&amp;A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$G$74:$G$91</xm:f>
          </x14:formula1>
          <xm:sqref>WVO983057:WVO983058 JC196642:JC196643 JC262178:JC262179 JC327714:JC327715 JC393250:JC393251 JC458786:JC458787 JC524322:JC524323 JC589858:JC589859 JC655394:JC655395 JC720930:JC720931 JC786466:JC786467 JC852002:JC852003 JC917538:JC917539 JC983074:JC983075 SY65570:SY65571 SY131106:SY131107 SY196642:SY196643 SY262178:SY262179 SY327714:SY327715 SY393250:SY393251 SY458786:SY458787 SY524322:SY524323 SY589858:SY589859 SY655394:SY655395 SY720930:SY720931 SY786466:SY786467 SY852002:SY852003 SY917538:SY917539 SY983074:SY983075 ACU65570:ACU65571 ACU131106:ACU131107 ACU196642:ACU196643 ACU262178:ACU262179 ACU327714:ACU327715 ACU393250:ACU393251 ACU458786:ACU458787 ACU524322:ACU524323 ACU589858:ACU589859 ACU655394:ACU655395 ACU720930:ACU720931 ACU786466:ACU786467 ACU852002:ACU852003 ACU917538:ACU917539 ACU983074:ACU983075 AMQ65570:AMQ65571 AMQ131106:AMQ131107 AMQ196642:AMQ196643 AMQ262178:AMQ262179 AMQ327714:AMQ327715 AMQ393250:AMQ393251 AMQ458786:AMQ458787 AMQ524322:AMQ524323 AMQ589858:AMQ589859 AMQ655394:AMQ655395 AMQ720930:AMQ720931 AMQ786466:AMQ786467 AMQ852002:AMQ852003 AMQ917538:AMQ917539 AMQ983074:AMQ983075 AWM65570:AWM65571 AWM131106:AWM131107 AWM196642:AWM196643 AWM262178:AWM262179 AWM327714:AWM327715 AWM393250:AWM393251 AWM458786:AWM458787 AWM524322:AWM524323 AWM589858:AWM589859 AWM655394:AWM655395 AWM720930:AWM720931 AWM786466:AWM786467 AWM852002:AWM852003 AWM917538:AWM917539 AWM983074:AWM983075 BGI65570:BGI65571 BGI131106:BGI131107 BGI196642:BGI196643 BGI262178:BGI262179 BGI327714:BGI327715 BGI393250:BGI393251 BGI458786:BGI458787 BGI524322:BGI524323 BGI589858:BGI589859 BGI655394:BGI655395 BGI720930:BGI720931 BGI786466:BGI786467 BGI852002:BGI852003 BGI917538:BGI917539 BGI983074:BGI983075 BQE65570:BQE65571 BQE131106:BQE131107 BQE196642:BQE196643 BQE262178:BQE262179 BQE327714:BQE327715 BQE393250:BQE393251 BQE458786:BQE458787 BQE524322:BQE524323 BQE589858:BQE589859 BQE655394:BQE655395 BQE720930:BQE720931 BQE786466:BQE786467 BQE852002:BQE852003 BQE917538:BQE917539 BQE983074:BQE983075 CAA65570:CAA65571 CAA131106:CAA131107 CAA196642:CAA196643 CAA262178:CAA262179 CAA327714:CAA327715 CAA393250:CAA393251 CAA458786:CAA458787 CAA524322:CAA524323 CAA589858:CAA589859 CAA655394:CAA655395 CAA720930:CAA720931 CAA786466:CAA786467 CAA852002:CAA852003 CAA917538:CAA917539 CAA983074:CAA983075 CJW65570:CJW65571 CJW131106:CJW131107 CJW196642:CJW196643 CJW262178:CJW262179 CJW327714:CJW327715 CJW393250:CJW393251 CJW458786:CJW458787 CJW524322:CJW524323 CJW589858:CJW589859 CJW655394:CJW655395 CJW720930:CJW720931 CJW786466:CJW786467 CJW852002:CJW852003 CJW917538:CJW917539 CJW983074:CJW983075 CTS65570:CTS65571 CTS131106:CTS131107 CTS196642:CTS196643 CTS262178:CTS262179 CTS327714:CTS327715 CTS393250:CTS393251 CTS458786:CTS458787 CTS524322:CTS524323 CTS589858:CTS589859 CTS655394:CTS655395 CTS720930:CTS720931 CTS786466:CTS786467 CTS852002:CTS852003 CTS917538:CTS917539 CTS983074:CTS983075 DDO65570:DDO65571 DDO131106:DDO131107 DDO196642:DDO196643 DDO262178:DDO262179 DDO327714:DDO327715 DDO393250:DDO393251 DDO458786:DDO458787 DDO524322:DDO524323 DDO589858:DDO589859 DDO655394:DDO655395 DDO720930:DDO720931 DDO786466:DDO786467 DDO852002:DDO852003 DDO917538:DDO917539 DDO983074:DDO983075 DNK65570:DNK65571 DNK131106:DNK131107 DNK196642:DNK196643 DNK262178:DNK262179 DNK327714:DNK327715 DNK393250:DNK393251 DNK458786:DNK458787 DNK524322:DNK524323 DNK589858:DNK589859 DNK655394:DNK655395 DNK720930:DNK720931 DNK786466:DNK786467 DNK852002:DNK852003 DNK917538:DNK917539 DNK983074:DNK983075 DXG65570:DXG65571 DXG131106:DXG131107 DXG196642:DXG196643 DXG262178:DXG262179 DXG327714:DXG327715 DXG393250:DXG393251 DXG458786:DXG458787 DXG524322:DXG524323 DXG589858:DXG589859 DXG655394:DXG655395 DXG720930:DXG720931 DXG786466:DXG786467 DXG852002:DXG852003 DXG917538:DXG917539 DXG983074:DXG983075 EHC65570:EHC65571 EHC131106:EHC131107 EHC196642:EHC196643 EHC262178:EHC262179 EHC327714:EHC327715 EHC393250:EHC393251 EHC458786:EHC458787 EHC524322:EHC524323 EHC589858:EHC589859 EHC655394:EHC655395 EHC720930:EHC720931 EHC786466:EHC786467 EHC852002:EHC852003 EHC917538:EHC917539 EHC983074:EHC983075 EQY65570:EQY65571 EQY131106:EQY131107 EQY196642:EQY196643 EQY262178:EQY262179 EQY327714:EQY327715 EQY393250:EQY393251 EQY458786:EQY458787 EQY524322:EQY524323 EQY589858:EQY589859 EQY655394:EQY655395 EQY720930:EQY720931 EQY786466:EQY786467 EQY852002:EQY852003 EQY917538:EQY917539 EQY983074:EQY983075 FAU65570:FAU65571 FAU131106:FAU131107 FAU196642:FAU196643 FAU262178:FAU262179 FAU327714:FAU327715 FAU393250:FAU393251 FAU458786:FAU458787 FAU524322:FAU524323 FAU589858:FAU589859 FAU655394:FAU655395 FAU720930:FAU720931 FAU786466:FAU786467 FAU852002:FAU852003 FAU917538:FAU917539 FAU983074:FAU983075 FKQ65570:FKQ65571 FKQ131106:FKQ131107 FKQ196642:FKQ196643 FKQ262178:FKQ262179 FKQ327714:FKQ327715 FKQ393250:FKQ393251 FKQ458786:FKQ458787 FKQ524322:FKQ524323 FKQ589858:FKQ589859 FKQ655394:FKQ655395 FKQ720930:FKQ720931 FKQ786466:FKQ786467 FKQ852002:FKQ852003 FKQ917538:FKQ917539 FKQ983074:FKQ983075 FUM65570:FUM65571 FUM131106:FUM131107 FUM196642:FUM196643 FUM262178:FUM262179 FUM327714:FUM327715 FUM393250:FUM393251 FUM458786:FUM458787 FUM524322:FUM524323 FUM589858:FUM589859 FUM655394:FUM655395 FUM720930:FUM720931 FUM786466:FUM786467 FUM852002:FUM852003 FUM917538:FUM917539 FUM983074:FUM983075 GEI65570:GEI65571 GEI131106:GEI131107 GEI196642:GEI196643 GEI262178:GEI262179 GEI327714:GEI327715 GEI393250:GEI393251 GEI458786:GEI458787 GEI524322:GEI524323 GEI589858:GEI589859 GEI655394:GEI655395 GEI720930:GEI720931 GEI786466:GEI786467 GEI852002:GEI852003 GEI917538:GEI917539 GEI983074:GEI983075 GOE65570:GOE65571 GOE131106:GOE131107 GOE196642:GOE196643 GOE262178:GOE262179 GOE327714:GOE327715 GOE393250:GOE393251 GOE458786:GOE458787 GOE524322:GOE524323 GOE589858:GOE589859 GOE655394:GOE655395 GOE720930:GOE720931 GOE786466:GOE786467 GOE852002:GOE852003 GOE917538:GOE917539 GOE983074:GOE983075 GYA65570:GYA65571 GYA131106:GYA131107 GYA196642:GYA196643 GYA262178:GYA262179 GYA327714:GYA327715 GYA393250:GYA393251 GYA458786:GYA458787 GYA524322:GYA524323 GYA589858:GYA589859 GYA655394:GYA655395 GYA720930:GYA720931 GYA786466:GYA786467 GYA852002:GYA852003 GYA917538:GYA917539 GYA983074:GYA983075 HHW65570:HHW65571 HHW131106:HHW131107 HHW196642:HHW196643 HHW262178:HHW262179 HHW327714:HHW327715 HHW393250:HHW393251 HHW458786:HHW458787 HHW524322:HHW524323 HHW589858:HHW589859 HHW655394:HHW655395 HHW720930:HHW720931 HHW786466:HHW786467 HHW852002:HHW852003 HHW917538:HHW917539 HHW983074:HHW983075 HRS65570:HRS65571 HRS131106:HRS131107 HRS196642:HRS196643 HRS262178:HRS262179 HRS327714:HRS327715 HRS393250:HRS393251 HRS458786:HRS458787 HRS524322:HRS524323 HRS589858:HRS589859 HRS655394:HRS655395 HRS720930:HRS720931 HRS786466:HRS786467 HRS852002:HRS852003 HRS917538:HRS917539 HRS983074:HRS983075 IBO65570:IBO65571 IBO131106:IBO131107 IBO196642:IBO196643 IBO262178:IBO262179 IBO327714:IBO327715 IBO393250:IBO393251 IBO458786:IBO458787 IBO524322:IBO524323 IBO589858:IBO589859 IBO655394:IBO655395 IBO720930:IBO720931 IBO786466:IBO786467 IBO852002:IBO852003 IBO917538:IBO917539 IBO983074:IBO983075 ILK65570:ILK65571 ILK131106:ILK131107 ILK196642:ILK196643 ILK262178:ILK262179 ILK327714:ILK327715 ILK393250:ILK393251 ILK458786:ILK458787 ILK524322:ILK524323 ILK589858:ILK589859 ILK655394:ILK655395 ILK720930:ILK720931 ILK786466:ILK786467 ILK852002:ILK852003 ILK917538:ILK917539 ILK983074:ILK983075 IVG65570:IVG65571 IVG131106:IVG131107 IVG196642:IVG196643 IVG262178:IVG262179 IVG327714:IVG327715 IVG393250:IVG393251 IVG458786:IVG458787 IVG524322:IVG524323 IVG589858:IVG589859 IVG655394:IVG655395 IVG720930:IVG720931 IVG786466:IVG786467 IVG852002:IVG852003 IVG917538:IVG917539 IVG983074:IVG983075 JFC65570:JFC65571 JFC131106:JFC131107 JFC196642:JFC196643 JFC262178:JFC262179 JFC327714:JFC327715 JFC393250:JFC393251 JFC458786:JFC458787 JFC524322:JFC524323 JFC589858:JFC589859 JFC655394:JFC655395 JFC720930:JFC720931 JFC786466:JFC786467 JFC852002:JFC852003 JFC917538:JFC917539 JFC983074:JFC983075 JOY65570:JOY65571 JOY131106:JOY131107 JOY196642:JOY196643 JOY262178:JOY262179 JOY327714:JOY327715 JOY393250:JOY393251 JOY458786:JOY458787 JOY524322:JOY524323 JOY589858:JOY589859 JOY655394:JOY655395 JOY720930:JOY720931 JOY786466:JOY786467 JOY852002:JOY852003 JOY917538:JOY917539 JOY983074:JOY983075 JYU65570:JYU65571 JYU131106:JYU131107 JYU196642:JYU196643 JYU262178:JYU262179 JYU327714:JYU327715 JYU393250:JYU393251 JYU458786:JYU458787 JYU524322:JYU524323 JYU589858:JYU589859 JYU655394:JYU655395 JYU720930:JYU720931 JYU786466:JYU786467 JYU852002:JYU852003 JYU917538:JYU917539 JYU983074:JYU983075 KIQ65570:KIQ65571 KIQ131106:KIQ131107 KIQ196642:KIQ196643 KIQ262178:KIQ262179 KIQ327714:KIQ327715 KIQ393250:KIQ393251 KIQ458786:KIQ458787 KIQ524322:KIQ524323 KIQ589858:KIQ589859 KIQ655394:KIQ655395 KIQ720930:KIQ720931 KIQ786466:KIQ786467 KIQ852002:KIQ852003 KIQ917538:KIQ917539 KIQ983074:KIQ983075 KSM65570:KSM65571 KSM131106:KSM131107 KSM196642:KSM196643 KSM262178:KSM262179 KSM327714:KSM327715 KSM393250:KSM393251 KSM458786:KSM458787 KSM524322:KSM524323 KSM589858:KSM589859 KSM655394:KSM655395 KSM720930:KSM720931 KSM786466:KSM786467 KSM852002:KSM852003 KSM917538:KSM917539 KSM983074:KSM983075 LCI65570:LCI65571 LCI131106:LCI131107 LCI196642:LCI196643 LCI262178:LCI262179 LCI327714:LCI327715 LCI393250:LCI393251 LCI458786:LCI458787 LCI524322:LCI524323 LCI589858:LCI589859 LCI655394:LCI655395 LCI720930:LCI720931 LCI786466:LCI786467 LCI852002:LCI852003 LCI917538:LCI917539 LCI983074:LCI983075 LME65570:LME65571 LME131106:LME131107 LME196642:LME196643 LME262178:LME262179 LME327714:LME327715 LME393250:LME393251 LME458786:LME458787 LME524322:LME524323 LME589858:LME589859 LME655394:LME655395 LME720930:LME720931 LME786466:LME786467 LME852002:LME852003 LME917538:LME917539 LME983074:LME983075 LWA65570:LWA65571 LWA131106:LWA131107 LWA196642:LWA196643 LWA262178:LWA262179 LWA327714:LWA327715 LWA393250:LWA393251 LWA458786:LWA458787 LWA524322:LWA524323 LWA589858:LWA589859 LWA655394:LWA655395 LWA720930:LWA720931 LWA786466:LWA786467 LWA852002:LWA852003 LWA917538:LWA917539 LWA983074:LWA983075 MFW65570:MFW65571 MFW131106:MFW131107 MFW196642:MFW196643 MFW262178:MFW262179 MFW327714:MFW327715 MFW393250:MFW393251 MFW458786:MFW458787 MFW524322:MFW524323 MFW589858:MFW589859 MFW655394:MFW655395 MFW720930:MFW720931 MFW786466:MFW786467 MFW852002:MFW852003 MFW917538:MFW917539 MFW983074:MFW983075 MPS65570:MPS65571 MPS131106:MPS131107 MPS196642:MPS196643 MPS262178:MPS262179 MPS327714:MPS327715 MPS393250:MPS393251 MPS458786:MPS458787 MPS524322:MPS524323 MPS589858:MPS589859 MPS655394:MPS655395 MPS720930:MPS720931 MPS786466:MPS786467 MPS852002:MPS852003 MPS917538:MPS917539 MPS983074:MPS983075 MZO65570:MZO65571 MZO131106:MZO131107 MZO196642:MZO196643 MZO262178:MZO262179 MZO327714:MZO327715 MZO393250:MZO393251 MZO458786:MZO458787 MZO524322:MZO524323 MZO589858:MZO589859 MZO655394:MZO655395 MZO720930:MZO720931 MZO786466:MZO786467 MZO852002:MZO852003 MZO917538:MZO917539 MZO983074:MZO983075 NJK65570:NJK65571 NJK131106:NJK131107 NJK196642:NJK196643 NJK262178:NJK262179 NJK327714:NJK327715 NJK393250:NJK393251 NJK458786:NJK458787 NJK524322:NJK524323 NJK589858:NJK589859 NJK655394:NJK655395 NJK720930:NJK720931 NJK786466:NJK786467 NJK852002:NJK852003 NJK917538:NJK917539 NJK983074:NJK983075 NTG65570:NTG65571 NTG131106:NTG131107 NTG196642:NTG196643 NTG262178:NTG262179 NTG327714:NTG327715 NTG393250:NTG393251 NTG458786:NTG458787 NTG524322:NTG524323 NTG589858:NTG589859 NTG655394:NTG655395 NTG720930:NTG720931 NTG786466:NTG786467 NTG852002:NTG852003 NTG917538:NTG917539 NTG983074:NTG983075 ODC65570:ODC65571 ODC131106:ODC131107 ODC196642:ODC196643 ODC262178:ODC262179 ODC327714:ODC327715 ODC393250:ODC393251 ODC458786:ODC458787 ODC524322:ODC524323 ODC589858:ODC589859 ODC655394:ODC655395 ODC720930:ODC720931 ODC786466:ODC786467 ODC852002:ODC852003 ODC917538:ODC917539 ODC983074:ODC983075 OMY65570:OMY65571 OMY131106:OMY131107 OMY196642:OMY196643 OMY262178:OMY262179 OMY327714:OMY327715 OMY393250:OMY393251 OMY458786:OMY458787 OMY524322:OMY524323 OMY589858:OMY589859 OMY655394:OMY655395 OMY720930:OMY720931 OMY786466:OMY786467 OMY852002:OMY852003 OMY917538:OMY917539 OMY983074:OMY983075 OWU65570:OWU65571 OWU131106:OWU131107 OWU196642:OWU196643 OWU262178:OWU262179 OWU327714:OWU327715 OWU393250:OWU393251 OWU458786:OWU458787 OWU524322:OWU524323 OWU589858:OWU589859 OWU655394:OWU655395 OWU720930:OWU720931 OWU786466:OWU786467 OWU852002:OWU852003 OWU917538:OWU917539 OWU983074:OWU983075 PGQ65570:PGQ65571 PGQ131106:PGQ131107 PGQ196642:PGQ196643 PGQ262178:PGQ262179 PGQ327714:PGQ327715 PGQ393250:PGQ393251 PGQ458786:PGQ458787 PGQ524322:PGQ524323 PGQ589858:PGQ589859 PGQ655394:PGQ655395 PGQ720930:PGQ720931 PGQ786466:PGQ786467 PGQ852002:PGQ852003 PGQ917538:PGQ917539 PGQ983074:PGQ983075 PQM65570:PQM65571 PQM131106:PQM131107 PQM196642:PQM196643 PQM262178:PQM262179 PQM327714:PQM327715 PQM393250:PQM393251 PQM458786:PQM458787 PQM524322:PQM524323 PQM589858:PQM589859 PQM655394:PQM655395 PQM720930:PQM720931 PQM786466:PQM786467 PQM852002:PQM852003 PQM917538:PQM917539 PQM983074:PQM983075 QAI65570:QAI65571 QAI131106:QAI131107 QAI196642:QAI196643 QAI262178:QAI262179 QAI327714:QAI327715 QAI393250:QAI393251 QAI458786:QAI458787 QAI524322:QAI524323 QAI589858:QAI589859 QAI655394:QAI655395 QAI720930:QAI720931 QAI786466:QAI786467 QAI852002:QAI852003 QAI917538:QAI917539 QAI983074:QAI983075 QKE65570:QKE65571 QKE131106:QKE131107 QKE196642:QKE196643 QKE262178:QKE262179 QKE327714:QKE327715 QKE393250:QKE393251 QKE458786:QKE458787 QKE524322:QKE524323 QKE589858:QKE589859 QKE655394:QKE655395 QKE720930:QKE720931 QKE786466:QKE786467 QKE852002:QKE852003 QKE917538:QKE917539 QKE983074:QKE983075 QUA65570:QUA65571 QUA131106:QUA131107 QUA196642:QUA196643 QUA262178:QUA262179 QUA327714:QUA327715 QUA393250:QUA393251 QUA458786:QUA458787 QUA524322:QUA524323 QUA589858:QUA589859 QUA655394:QUA655395 QUA720930:QUA720931 QUA786466:QUA786467 QUA852002:QUA852003 QUA917538:QUA917539 QUA983074:QUA983075 RDW65570:RDW65571 RDW131106:RDW131107 RDW196642:RDW196643 RDW262178:RDW262179 RDW327714:RDW327715 RDW393250:RDW393251 RDW458786:RDW458787 RDW524322:RDW524323 RDW589858:RDW589859 RDW655394:RDW655395 RDW720930:RDW720931 RDW786466:RDW786467 RDW852002:RDW852003 RDW917538:RDW917539 RDW983074:RDW983075 RNS65570:RNS65571 RNS131106:RNS131107 RNS196642:RNS196643 RNS262178:RNS262179 RNS327714:RNS327715 RNS393250:RNS393251 RNS458786:RNS458787 RNS524322:RNS524323 RNS589858:RNS589859 RNS655394:RNS655395 RNS720930:RNS720931 RNS786466:RNS786467 RNS852002:RNS852003 RNS917538:RNS917539 RNS983074:RNS983075 RXO65570:RXO65571 RXO131106:RXO131107 RXO196642:RXO196643 RXO262178:RXO262179 RXO327714:RXO327715 RXO393250:RXO393251 RXO458786:RXO458787 RXO524322:RXO524323 RXO589858:RXO589859 RXO655394:RXO655395 RXO720930:RXO720931 RXO786466:RXO786467 RXO852002:RXO852003 RXO917538:RXO917539 RXO983074:RXO983075 SHK65570:SHK65571 SHK131106:SHK131107 SHK196642:SHK196643 SHK262178:SHK262179 SHK327714:SHK327715 SHK393250:SHK393251 SHK458786:SHK458787 SHK524322:SHK524323 SHK589858:SHK589859 SHK655394:SHK655395 SHK720930:SHK720931 SHK786466:SHK786467 SHK852002:SHK852003 SHK917538:SHK917539 SHK983074:SHK983075 SRG65570:SRG65571 SRG131106:SRG131107 SRG196642:SRG196643 SRG262178:SRG262179 SRG327714:SRG327715 SRG393250:SRG393251 SRG458786:SRG458787 SRG524322:SRG524323 SRG589858:SRG589859 SRG655394:SRG655395 SRG720930:SRG720931 SRG786466:SRG786467 SRG852002:SRG852003 SRG917538:SRG917539 SRG983074:SRG983075 TBC65570:TBC65571 TBC131106:TBC131107 TBC196642:TBC196643 TBC262178:TBC262179 TBC327714:TBC327715 TBC393250:TBC393251 TBC458786:TBC458787 TBC524322:TBC524323 TBC589858:TBC589859 TBC655394:TBC655395 TBC720930:TBC720931 TBC786466:TBC786467 TBC852002:TBC852003 TBC917538:TBC917539 TBC983074:TBC983075 TKY65570:TKY65571 TKY131106:TKY131107 TKY196642:TKY196643 TKY262178:TKY262179 TKY327714:TKY327715 TKY393250:TKY393251 TKY458786:TKY458787 TKY524322:TKY524323 TKY589858:TKY589859 TKY655394:TKY655395 TKY720930:TKY720931 TKY786466:TKY786467 TKY852002:TKY852003 TKY917538:TKY917539 TKY983074:TKY983075 TUU65570:TUU65571 TUU131106:TUU131107 TUU196642:TUU196643 TUU262178:TUU262179 TUU327714:TUU327715 TUU393250:TUU393251 TUU458786:TUU458787 TUU524322:TUU524323 TUU589858:TUU589859 TUU655394:TUU655395 TUU720930:TUU720931 TUU786466:TUU786467 TUU852002:TUU852003 TUU917538:TUU917539 TUU983074:TUU983075 UEQ65570:UEQ65571 UEQ131106:UEQ131107 UEQ196642:UEQ196643 UEQ262178:UEQ262179 UEQ327714:UEQ327715 UEQ393250:UEQ393251 UEQ458786:UEQ458787 UEQ524322:UEQ524323 UEQ589858:UEQ589859 UEQ655394:UEQ655395 UEQ720930:UEQ720931 UEQ786466:UEQ786467 UEQ852002:UEQ852003 UEQ917538:UEQ917539 UEQ983074:UEQ983075 UOM65570:UOM65571 UOM131106:UOM131107 UOM196642:UOM196643 UOM262178:UOM262179 UOM327714:UOM327715 UOM393250:UOM393251 UOM458786:UOM458787 UOM524322:UOM524323 UOM589858:UOM589859 UOM655394:UOM655395 UOM720930:UOM720931 UOM786466:UOM786467 UOM852002:UOM852003 UOM917538:UOM917539 UOM983074:UOM983075 UYI65570:UYI65571 UYI131106:UYI131107 UYI196642:UYI196643 UYI262178:UYI262179 UYI327714:UYI327715 UYI393250:UYI393251 UYI458786:UYI458787 UYI524322:UYI524323 UYI589858:UYI589859 UYI655394:UYI655395 UYI720930:UYI720931 UYI786466:UYI786467 UYI852002:UYI852003 UYI917538:UYI917539 UYI983074:UYI983075 VIE65570:VIE65571 VIE131106:VIE131107 VIE196642:VIE196643 VIE262178:VIE262179 VIE327714:VIE327715 VIE393250:VIE393251 VIE458786:VIE458787 VIE524322:VIE524323 VIE589858:VIE589859 VIE655394:VIE655395 VIE720930:VIE720931 VIE786466:VIE786467 VIE852002:VIE852003 VIE917538:VIE917539 VIE983074:VIE983075 VSA65570:VSA65571 VSA131106:VSA131107 VSA196642:VSA196643 VSA262178:VSA262179 VSA327714:VSA327715 VSA393250:VSA393251 VSA458786:VSA458787 VSA524322:VSA524323 VSA589858:VSA589859 VSA655394:VSA655395 VSA720930:VSA720931 VSA786466:VSA786467 VSA852002:VSA852003 VSA917538:VSA917539 VSA983074:VSA983075 WBW65570:WBW65571 WBW131106:WBW131107 WBW196642:WBW196643 WBW262178:WBW262179 WBW327714:WBW327715 WBW393250:WBW393251 WBW458786:WBW458787 WBW524322:WBW524323 WBW589858:WBW589859 WBW655394:WBW655395 WBW720930:WBW720931 WBW786466:WBW786467 WBW852002:WBW852003 WBW917538:WBW917539 WBW983074:WBW983075 WLS65570:WLS65571 WLS131106:WLS131107 WLS196642:WLS196643 WLS262178:WLS262179 WLS327714:WLS327715 WLS393250:WLS393251 WLS458786:WLS458787 WLS524322:WLS524323 WLS589858:WLS589859 WLS655394:WLS655395 WLS720930:WLS720931 WLS786466:WLS786467 WLS852002:WLS852003 WLS917538:WLS917539 WLS983074:WLS983075 WVO65570:WVO65571 WVO131106:WVO131107 WVO196642:WVO196643 WVO262178:WVO262179 WVO327714:WVO327715 WVO393250:WVO393251 WVO458786:WVO458787 WVO524322:WVO524323 WVO589858:WVO589859 WVO655394:WVO655395 WVO720930:WVO720931 WVO786466:WVO786467 WVO852002:WVO852003 WVO917538:WVO917539 WVO983074:WVO983075 WVO983132:WVO983135 JC131106:JC131107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JC65562 SY65562 ACU65562 AMQ65562 AWM65562 BGI65562 BQE65562 CAA65562 CJW65562 CTS65562 DDO65562 DNK65562 DXG65562 EHC65562 EQY65562 FAU65562 FKQ65562 FUM65562 GEI65562 GOE65562 GYA65562 HHW65562 HRS65562 IBO65562 ILK65562 IVG65562 JFC65562 JOY65562 JYU65562 KIQ65562 KSM65562 LCI65562 LME65562 LWA65562 MFW65562 MPS65562 MZO65562 NJK65562 NTG65562 ODC65562 OMY65562 OWU65562 PGQ65562 PQM65562 QAI65562 QKE65562 QUA65562 RDW65562 RNS65562 RXO65562 SHK65562 SRG65562 TBC65562 TKY65562 TUU65562 UEQ65562 UOM65562 UYI65562 VIE65562 VSA65562 WBW65562 WLS65562 WVO65562 JC65564 SY65564 ACU65564 AMQ65564 AWM65564 BGI65564 BQE65564 CAA65564 CJW65564 CTS65564 DDO65564 DNK65564 DXG65564 EHC65564 EQY65564 FAU65564 FKQ65564 FUM65564 GEI65564 GOE65564 GYA65564 HHW65564 HRS65564 IBO65564 ILK65564 IVG65564 JFC65564 JOY65564 JYU65564 KIQ65564 KSM65564 LCI65564 LME65564 LWA65564 MFW65564 MPS65564 MZO65564 NJK65564 NTG65564 ODC65564 OMY65564 OWU65564 PGQ65564 PQM65564 QAI65564 QKE65564 QUA65564 RDW65564 RNS65564 RXO65564 SHK65564 SRG65564 TBC65564 TKY65564 TUU65564 UEQ65564 UOM65564 UYI65564 VIE65564 VSA65564 WBW65564 WLS65564 WVO65564 JC65573:JC65578 SY65573:SY65578 ACU65573:ACU65578 AMQ65573:AMQ65578 AWM65573:AWM65578 BGI65573:BGI65578 BQE65573:BQE65578 CAA65573:CAA65578 CJW65573:CJW65578 CTS65573:CTS65578 DDO65573:DDO65578 DNK65573:DNK65578 DXG65573:DXG65578 EHC65573:EHC65578 EQY65573:EQY65578 FAU65573:FAU65578 FKQ65573:FKQ65578 FUM65573:FUM65578 GEI65573:GEI65578 GOE65573:GOE65578 GYA65573:GYA65578 HHW65573:HHW65578 HRS65573:HRS65578 IBO65573:IBO65578 ILK65573:ILK65578 IVG65573:IVG65578 JFC65573:JFC65578 JOY65573:JOY65578 JYU65573:JYU65578 KIQ65573:KIQ65578 KSM65573:KSM65578 LCI65573:LCI65578 LME65573:LME65578 LWA65573:LWA65578 MFW65573:MFW65578 MPS65573:MPS65578 MZO65573:MZO65578 NJK65573:NJK65578 NTG65573:NTG65578 ODC65573:ODC65578 OMY65573:OMY65578 OWU65573:OWU65578 PGQ65573:PGQ65578 PQM65573:PQM65578 QAI65573:QAI65578 QKE65573:QKE65578 QUA65573:QUA65578 RDW65573:RDW65578 RNS65573:RNS65578 RXO65573:RXO65578 SHK65573:SHK65578 SRG65573:SRG65578 TBC65573:TBC65578 TKY65573:TKY65578 TUU65573:TUU65578 UEQ65573:UEQ65578 UOM65573:UOM65578 UYI65573:UYI65578 VIE65573:VIE65578 VSA65573:VSA65578 WBW65573:WBW65578 WLS65573:WLS65578 WVO65573:WVO65578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JC131098 SY131098 ACU131098 AMQ131098 AWM131098 BGI131098 BQE131098 CAA131098 CJW131098 CTS131098 DDO131098 DNK131098 DXG131098 EHC131098 EQY131098 FAU131098 FKQ131098 FUM131098 GEI131098 GOE131098 GYA131098 HHW131098 HRS131098 IBO131098 ILK131098 IVG131098 JFC131098 JOY131098 JYU131098 KIQ131098 KSM131098 LCI131098 LME131098 LWA131098 MFW131098 MPS131098 MZO131098 NJK131098 NTG131098 ODC131098 OMY131098 OWU131098 PGQ131098 PQM131098 QAI131098 QKE131098 QUA131098 RDW131098 RNS131098 RXO131098 SHK131098 SRG131098 TBC131098 TKY131098 TUU131098 UEQ131098 UOM131098 UYI131098 VIE131098 VSA131098 WBW131098 WLS131098 WVO131098 JC131100 SY131100 ACU131100 AMQ131100 AWM131100 BGI131100 BQE131100 CAA131100 CJW131100 CTS131100 DDO131100 DNK131100 DXG131100 EHC131100 EQY131100 FAU131100 FKQ131100 FUM131100 GEI131100 GOE131100 GYA131100 HHW131100 HRS131100 IBO131100 ILK131100 IVG131100 JFC131100 JOY131100 JYU131100 KIQ131100 KSM131100 LCI131100 LME131100 LWA131100 MFW131100 MPS131100 MZO131100 NJK131100 NTG131100 ODC131100 OMY131100 OWU131100 PGQ131100 PQM131100 QAI131100 QKE131100 QUA131100 RDW131100 RNS131100 RXO131100 SHK131100 SRG131100 TBC131100 TKY131100 TUU131100 UEQ131100 UOM131100 UYI131100 VIE131100 VSA131100 WBW131100 WLS131100 WVO131100 JC131109:JC131114 SY131109:SY131114 ACU131109:ACU131114 AMQ131109:AMQ131114 AWM131109:AWM131114 BGI131109:BGI131114 BQE131109:BQE131114 CAA131109:CAA131114 CJW131109:CJW131114 CTS131109:CTS131114 DDO131109:DDO131114 DNK131109:DNK131114 DXG131109:DXG131114 EHC131109:EHC131114 EQY131109:EQY131114 FAU131109:FAU131114 FKQ131109:FKQ131114 FUM131109:FUM131114 GEI131109:GEI131114 GOE131109:GOE131114 GYA131109:GYA131114 HHW131109:HHW131114 HRS131109:HRS131114 IBO131109:IBO131114 ILK131109:ILK131114 IVG131109:IVG131114 JFC131109:JFC131114 JOY131109:JOY131114 JYU131109:JYU131114 KIQ131109:KIQ131114 KSM131109:KSM131114 LCI131109:LCI131114 LME131109:LME131114 LWA131109:LWA131114 MFW131109:MFW131114 MPS131109:MPS131114 MZO131109:MZO131114 NJK131109:NJK131114 NTG131109:NTG131114 ODC131109:ODC131114 OMY131109:OMY131114 OWU131109:OWU131114 PGQ131109:PGQ131114 PQM131109:PQM131114 QAI131109:QAI131114 QKE131109:QKE131114 QUA131109:QUA131114 RDW131109:RDW131114 RNS131109:RNS131114 RXO131109:RXO131114 SHK131109:SHK131114 SRG131109:SRG131114 TBC131109:TBC131114 TKY131109:TKY131114 TUU131109:TUU131114 UEQ131109:UEQ131114 UOM131109:UOM131114 UYI131109:UYI131114 VIE131109:VIE131114 VSA131109:VSA131114 WBW131109:WBW131114 WLS131109:WLS131114 WVO131109:WVO131114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JC196634 SY196634 ACU196634 AMQ196634 AWM196634 BGI196634 BQE196634 CAA196634 CJW196634 CTS196634 DDO196634 DNK196634 DXG196634 EHC196634 EQY196634 FAU196634 FKQ196634 FUM196634 GEI196634 GOE196634 GYA196634 HHW196634 HRS196634 IBO196634 ILK196634 IVG196634 JFC196634 JOY196634 JYU196634 KIQ196634 KSM196634 LCI196634 LME196634 LWA196634 MFW196634 MPS196634 MZO196634 NJK196634 NTG196634 ODC196634 OMY196634 OWU196634 PGQ196634 PQM196634 QAI196634 QKE196634 QUA196634 RDW196634 RNS196634 RXO196634 SHK196634 SRG196634 TBC196634 TKY196634 TUU196634 UEQ196634 UOM196634 UYI196634 VIE196634 VSA196634 WBW196634 WLS196634 WVO196634 JC196636 SY196636 ACU196636 AMQ196636 AWM196636 BGI196636 BQE196636 CAA196636 CJW196636 CTS196636 DDO196636 DNK196636 DXG196636 EHC196636 EQY196636 FAU196636 FKQ196636 FUM196636 GEI196636 GOE196636 GYA196636 HHW196636 HRS196636 IBO196636 ILK196636 IVG196636 JFC196636 JOY196636 JYU196636 KIQ196636 KSM196636 LCI196636 LME196636 LWA196636 MFW196636 MPS196636 MZO196636 NJK196636 NTG196636 ODC196636 OMY196636 OWU196636 PGQ196636 PQM196636 QAI196636 QKE196636 QUA196636 RDW196636 RNS196636 RXO196636 SHK196636 SRG196636 TBC196636 TKY196636 TUU196636 UEQ196636 UOM196636 UYI196636 VIE196636 VSA196636 WBW196636 WLS196636 WVO196636 JC196645:JC196650 SY196645:SY196650 ACU196645:ACU196650 AMQ196645:AMQ196650 AWM196645:AWM196650 BGI196645:BGI196650 BQE196645:BQE196650 CAA196645:CAA196650 CJW196645:CJW196650 CTS196645:CTS196650 DDO196645:DDO196650 DNK196645:DNK196650 DXG196645:DXG196650 EHC196645:EHC196650 EQY196645:EQY196650 FAU196645:FAU196650 FKQ196645:FKQ196650 FUM196645:FUM196650 GEI196645:GEI196650 GOE196645:GOE196650 GYA196645:GYA196650 HHW196645:HHW196650 HRS196645:HRS196650 IBO196645:IBO196650 ILK196645:ILK196650 IVG196645:IVG196650 JFC196645:JFC196650 JOY196645:JOY196650 JYU196645:JYU196650 KIQ196645:KIQ196650 KSM196645:KSM196650 LCI196645:LCI196650 LME196645:LME196650 LWA196645:LWA196650 MFW196645:MFW196650 MPS196645:MPS196650 MZO196645:MZO196650 NJK196645:NJK196650 NTG196645:NTG196650 ODC196645:ODC196650 OMY196645:OMY196650 OWU196645:OWU196650 PGQ196645:PGQ196650 PQM196645:PQM196650 QAI196645:QAI196650 QKE196645:QKE196650 QUA196645:QUA196650 RDW196645:RDW196650 RNS196645:RNS196650 RXO196645:RXO196650 SHK196645:SHK196650 SRG196645:SRG196650 TBC196645:TBC196650 TKY196645:TKY196650 TUU196645:TUU196650 UEQ196645:UEQ196650 UOM196645:UOM196650 UYI196645:UYI196650 VIE196645:VIE196650 VSA196645:VSA196650 WBW196645:WBW196650 WLS196645:WLS196650 WVO196645:WVO196650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JC262170 SY262170 ACU262170 AMQ262170 AWM262170 BGI262170 BQE262170 CAA262170 CJW262170 CTS262170 DDO262170 DNK262170 DXG262170 EHC262170 EQY262170 FAU262170 FKQ262170 FUM262170 GEI262170 GOE262170 GYA262170 HHW262170 HRS262170 IBO262170 ILK262170 IVG262170 JFC262170 JOY262170 JYU262170 KIQ262170 KSM262170 LCI262170 LME262170 LWA262170 MFW262170 MPS262170 MZO262170 NJK262170 NTG262170 ODC262170 OMY262170 OWU262170 PGQ262170 PQM262170 QAI262170 QKE262170 QUA262170 RDW262170 RNS262170 RXO262170 SHK262170 SRG262170 TBC262170 TKY262170 TUU262170 UEQ262170 UOM262170 UYI262170 VIE262170 VSA262170 WBW262170 WLS262170 WVO262170 JC262172 SY262172 ACU262172 AMQ262172 AWM262172 BGI262172 BQE262172 CAA262172 CJW262172 CTS262172 DDO262172 DNK262172 DXG262172 EHC262172 EQY262172 FAU262172 FKQ262172 FUM262172 GEI262172 GOE262172 GYA262172 HHW262172 HRS262172 IBO262172 ILK262172 IVG262172 JFC262172 JOY262172 JYU262172 KIQ262172 KSM262172 LCI262172 LME262172 LWA262172 MFW262172 MPS262172 MZO262172 NJK262172 NTG262172 ODC262172 OMY262172 OWU262172 PGQ262172 PQM262172 QAI262172 QKE262172 QUA262172 RDW262172 RNS262172 RXO262172 SHK262172 SRG262172 TBC262172 TKY262172 TUU262172 UEQ262172 UOM262172 UYI262172 VIE262172 VSA262172 WBW262172 WLS262172 WVO262172 JC262181:JC262186 SY262181:SY262186 ACU262181:ACU262186 AMQ262181:AMQ262186 AWM262181:AWM262186 BGI262181:BGI262186 BQE262181:BQE262186 CAA262181:CAA262186 CJW262181:CJW262186 CTS262181:CTS262186 DDO262181:DDO262186 DNK262181:DNK262186 DXG262181:DXG262186 EHC262181:EHC262186 EQY262181:EQY262186 FAU262181:FAU262186 FKQ262181:FKQ262186 FUM262181:FUM262186 GEI262181:GEI262186 GOE262181:GOE262186 GYA262181:GYA262186 HHW262181:HHW262186 HRS262181:HRS262186 IBO262181:IBO262186 ILK262181:ILK262186 IVG262181:IVG262186 JFC262181:JFC262186 JOY262181:JOY262186 JYU262181:JYU262186 KIQ262181:KIQ262186 KSM262181:KSM262186 LCI262181:LCI262186 LME262181:LME262186 LWA262181:LWA262186 MFW262181:MFW262186 MPS262181:MPS262186 MZO262181:MZO262186 NJK262181:NJK262186 NTG262181:NTG262186 ODC262181:ODC262186 OMY262181:OMY262186 OWU262181:OWU262186 PGQ262181:PGQ262186 PQM262181:PQM262186 QAI262181:QAI262186 QKE262181:QKE262186 QUA262181:QUA262186 RDW262181:RDW262186 RNS262181:RNS262186 RXO262181:RXO262186 SHK262181:SHK262186 SRG262181:SRG262186 TBC262181:TBC262186 TKY262181:TKY262186 TUU262181:TUU262186 UEQ262181:UEQ262186 UOM262181:UOM262186 UYI262181:UYI262186 VIE262181:VIE262186 VSA262181:VSA262186 WBW262181:WBW262186 WLS262181:WLS262186 WVO262181:WVO262186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JC327706 SY327706 ACU327706 AMQ327706 AWM327706 BGI327706 BQE327706 CAA327706 CJW327706 CTS327706 DDO327706 DNK327706 DXG327706 EHC327706 EQY327706 FAU327706 FKQ327706 FUM327706 GEI327706 GOE327706 GYA327706 HHW327706 HRS327706 IBO327706 ILK327706 IVG327706 JFC327706 JOY327706 JYU327706 KIQ327706 KSM327706 LCI327706 LME327706 LWA327706 MFW327706 MPS327706 MZO327706 NJK327706 NTG327706 ODC327706 OMY327706 OWU327706 PGQ327706 PQM327706 QAI327706 QKE327706 QUA327706 RDW327706 RNS327706 RXO327706 SHK327706 SRG327706 TBC327706 TKY327706 TUU327706 UEQ327706 UOM327706 UYI327706 VIE327706 VSA327706 WBW327706 WLS327706 WVO327706 JC327708 SY327708 ACU327708 AMQ327708 AWM327708 BGI327708 BQE327708 CAA327708 CJW327708 CTS327708 DDO327708 DNK327708 DXG327708 EHC327708 EQY327708 FAU327708 FKQ327708 FUM327708 GEI327708 GOE327708 GYA327708 HHW327708 HRS327708 IBO327708 ILK327708 IVG327708 JFC327708 JOY327708 JYU327708 KIQ327708 KSM327708 LCI327708 LME327708 LWA327708 MFW327708 MPS327708 MZO327708 NJK327708 NTG327708 ODC327708 OMY327708 OWU327708 PGQ327708 PQM327708 QAI327708 QKE327708 QUA327708 RDW327708 RNS327708 RXO327708 SHK327708 SRG327708 TBC327708 TKY327708 TUU327708 UEQ327708 UOM327708 UYI327708 VIE327708 VSA327708 WBW327708 WLS327708 WVO327708 JC327717:JC327722 SY327717:SY327722 ACU327717:ACU327722 AMQ327717:AMQ327722 AWM327717:AWM327722 BGI327717:BGI327722 BQE327717:BQE327722 CAA327717:CAA327722 CJW327717:CJW327722 CTS327717:CTS327722 DDO327717:DDO327722 DNK327717:DNK327722 DXG327717:DXG327722 EHC327717:EHC327722 EQY327717:EQY327722 FAU327717:FAU327722 FKQ327717:FKQ327722 FUM327717:FUM327722 GEI327717:GEI327722 GOE327717:GOE327722 GYA327717:GYA327722 HHW327717:HHW327722 HRS327717:HRS327722 IBO327717:IBO327722 ILK327717:ILK327722 IVG327717:IVG327722 JFC327717:JFC327722 JOY327717:JOY327722 JYU327717:JYU327722 KIQ327717:KIQ327722 KSM327717:KSM327722 LCI327717:LCI327722 LME327717:LME327722 LWA327717:LWA327722 MFW327717:MFW327722 MPS327717:MPS327722 MZO327717:MZO327722 NJK327717:NJK327722 NTG327717:NTG327722 ODC327717:ODC327722 OMY327717:OMY327722 OWU327717:OWU327722 PGQ327717:PGQ327722 PQM327717:PQM327722 QAI327717:QAI327722 QKE327717:QKE327722 QUA327717:QUA327722 RDW327717:RDW327722 RNS327717:RNS327722 RXO327717:RXO327722 SHK327717:SHK327722 SRG327717:SRG327722 TBC327717:TBC327722 TKY327717:TKY327722 TUU327717:TUU327722 UEQ327717:UEQ327722 UOM327717:UOM327722 UYI327717:UYI327722 VIE327717:VIE327722 VSA327717:VSA327722 WBW327717:WBW327722 WLS327717:WLS327722 WVO327717:WVO327722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JC393242 SY393242 ACU393242 AMQ393242 AWM393242 BGI393242 BQE393242 CAA393242 CJW393242 CTS393242 DDO393242 DNK393242 DXG393242 EHC393242 EQY393242 FAU393242 FKQ393242 FUM393242 GEI393242 GOE393242 GYA393242 HHW393242 HRS393242 IBO393242 ILK393242 IVG393242 JFC393242 JOY393242 JYU393242 KIQ393242 KSM393242 LCI393242 LME393242 LWA393242 MFW393242 MPS393242 MZO393242 NJK393242 NTG393242 ODC393242 OMY393242 OWU393242 PGQ393242 PQM393242 QAI393242 QKE393242 QUA393242 RDW393242 RNS393242 RXO393242 SHK393242 SRG393242 TBC393242 TKY393242 TUU393242 UEQ393242 UOM393242 UYI393242 VIE393242 VSA393242 WBW393242 WLS393242 WVO393242 JC393244 SY393244 ACU393244 AMQ393244 AWM393244 BGI393244 BQE393244 CAA393244 CJW393244 CTS393244 DDO393244 DNK393244 DXG393244 EHC393244 EQY393244 FAU393244 FKQ393244 FUM393244 GEI393244 GOE393244 GYA393244 HHW393244 HRS393244 IBO393244 ILK393244 IVG393244 JFC393244 JOY393244 JYU393244 KIQ393244 KSM393244 LCI393244 LME393244 LWA393244 MFW393244 MPS393244 MZO393244 NJK393244 NTG393244 ODC393244 OMY393244 OWU393244 PGQ393244 PQM393244 QAI393244 QKE393244 QUA393244 RDW393244 RNS393244 RXO393244 SHK393244 SRG393244 TBC393244 TKY393244 TUU393244 UEQ393244 UOM393244 UYI393244 VIE393244 VSA393244 WBW393244 WLS393244 WVO393244 JC393253:JC393258 SY393253:SY393258 ACU393253:ACU393258 AMQ393253:AMQ393258 AWM393253:AWM393258 BGI393253:BGI393258 BQE393253:BQE393258 CAA393253:CAA393258 CJW393253:CJW393258 CTS393253:CTS393258 DDO393253:DDO393258 DNK393253:DNK393258 DXG393253:DXG393258 EHC393253:EHC393258 EQY393253:EQY393258 FAU393253:FAU393258 FKQ393253:FKQ393258 FUM393253:FUM393258 GEI393253:GEI393258 GOE393253:GOE393258 GYA393253:GYA393258 HHW393253:HHW393258 HRS393253:HRS393258 IBO393253:IBO393258 ILK393253:ILK393258 IVG393253:IVG393258 JFC393253:JFC393258 JOY393253:JOY393258 JYU393253:JYU393258 KIQ393253:KIQ393258 KSM393253:KSM393258 LCI393253:LCI393258 LME393253:LME393258 LWA393253:LWA393258 MFW393253:MFW393258 MPS393253:MPS393258 MZO393253:MZO393258 NJK393253:NJK393258 NTG393253:NTG393258 ODC393253:ODC393258 OMY393253:OMY393258 OWU393253:OWU393258 PGQ393253:PGQ393258 PQM393253:PQM393258 QAI393253:QAI393258 QKE393253:QKE393258 QUA393253:QUA393258 RDW393253:RDW393258 RNS393253:RNS393258 RXO393253:RXO393258 SHK393253:SHK393258 SRG393253:SRG393258 TBC393253:TBC393258 TKY393253:TKY393258 TUU393253:TUU393258 UEQ393253:UEQ393258 UOM393253:UOM393258 UYI393253:UYI393258 VIE393253:VIE393258 VSA393253:VSA393258 WBW393253:WBW393258 WLS393253:WLS393258 WVO393253:WVO393258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JC458778 SY458778 ACU458778 AMQ458778 AWM458778 BGI458778 BQE458778 CAA458778 CJW458778 CTS458778 DDO458778 DNK458778 DXG458778 EHC458778 EQY458778 FAU458778 FKQ458778 FUM458778 GEI458778 GOE458778 GYA458778 HHW458778 HRS458778 IBO458778 ILK458778 IVG458778 JFC458778 JOY458778 JYU458778 KIQ458778 KSM458778 LCI458778 LME458778 LWA458778 MFW458778 MPS458778 MZO458778 NJK458778 NTG458778 ODC458778 OMY458778 OWU458778 PGQ458778 PQM458778 QAI458778 QKE458778 QUA458778 RDW458778 RNS458778 RXO458778 SHK458778 SRG458778 TBC458778 TKY458778 TUU458778 UEQ458778 UOM458778 UYI458778 VIE458778 VSA458778 WBW458778 WLS458778 WVO458778 JC458780 SY458780 ACU458780 AMQ458780 AWM458780 BGI458780 BQE458780 CAA458780 CJW458780 CTS458780 DDO458780 DNK458780 DXG458780 EHC458780 EQY458780 FAU458780 FKQ458780 FUM458780 GEI458780 GOE458780 GYA458780 HHW458780 HRS458780 IBO458780 ILK458780 IVG458780 JFC458780 JOY458780 JYU458780 KIQ458780 KSM458780 LCI458780 LME458780 LWA458780 MFW458780 MPS458780 MZO458780 NJK458780 NTG458780 ODC458780 OMY458780 OWU458780 PGQ458780 PQM458780 QAI458780 QKE458780 QUA458780 RDW458780 RNS458780 RXO458780 SHK458780 SRG458780 TBC458780 TKY458780 TUU458780 UEQ458780 UOM458780 UYI458780 VIE458780 VSA458780 WBW458780 WLS458780 WVO458780 JC458789:JC458794 SY458789:SY458794 ACU458789:ACU458794 AMQ458789:AMQ458794 AWM458789:AWM458794 BGI458789:BGI458794 BQE458789:BQE458794 CAA458789:CAA458794 CJW458789:CJW458794 CTS458789:CTS458794 DDO458789:DDO458794 DNK458789:DNK458794 DXG458789:DXG458794 EHC458789:EHC458794 EQY458789:EQY458794 FAU458789:FAU458794 FKQ458789:FKQ458794 FUM458789:FUM458794 GEI458789:GEI458794 GOE458789:GOE458794 GYA458789:GYA458794 HHW458789:HHW458794 HRS458789:HRS458794 IBO458789:IBO458794 ILK458789:ILK458794 IVG458789:IVG458794 JFC458789:JFC458794 JOY458789:JOY458794 JYU458789:JYU458794 KIQ458789:KIQ458794 KSM458789:KSM458794 LCI458789:LCI458794 LME458789:LME458794 LWA458789:LWA458794 MFW458789:MFW458794 MPS458789:MPS458794 MZO458789:MZO458794 NJK458789:NJK458794 NTG458789:NTG458794 ODC458789:ODC458794 OMY458789:OMY458794 OWU458789:OWU458794 PGQ458789:PGQ458794 PQM458789:PQM458794 QAI458789:QAI458794 QKE458789:QKE458794 QUA458789:QUA458794 RDW458789:RDW458794 RNS458789:RNS458794 RXO458789:RXO458794 SHK458789:SHK458794 SRG458789:SRG458794 TBC458789:TBC458794 TKY458789:TKY458794 TUU458789:TUU458794 UEQ458789:UEQ458794 UOM458789:UOM458794 UYI458789:UYI458794 VIE458789:VIE458794 VSA458789:VSA458794 WBW458789:WBW458794 WLS458789:WLS458794 WVO458789:WVO458794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JC524314 SY524314 ACU524314 AMQ524314 AWM524314 BGI524314 BQE524314 CAA524314 CJW524314 CTS524314 DDO524314 DNK524314 DXG524314 EHC524314 EQY524314 FAU524314 FKQ524314 FUM524314 GEI524314 GOE524314 GYA524314 HHW524314 HRS524314 IBO524314 ILK524314 IVG524314 JFC524314 JOY524314 JYU524314 KIQ524314 KSM524314 LCI524314 LME524314 LWA524314 MFW524314 MPS524314 MZO524314 NJK524314 NTG524314 ODC524314 OMY524314 OWU524314 PGQ524314 PQM524314 QAI524314 QKE524314 QUA524314 RDW524314 RNS524314 RXO524314 SHK524314 SRG524314 TBC524314 TKY524314 TUU524314 UEQ524314 UOM524314 UYI524314 VIE524314 VSA524314 WBW524314 WLS524314 WVO524314 JC524316 SY524316 ACU524316 AMQ524316 AWM524316 BGI524316 BQE524316 CAA524316 CJW524316 CTS524316 DDO524316 DNK524316 DXG524316 EHC524316 EQY524316 FAU524316 FKQ524316 FUM524316 GEI524316 GOE524316 GYA524316 HHW524316 HRS524316 IBO524316 ILK524316 IVG524316 JFC524316 JOY524316 JYU524316 KIQ524316 KSM524316 LCI524316 LME524316 LWA524316 MFW524316 MPS524316 MZO524316 NJK524316 NTG524316 ODC524316 OMY524316 OWU524316 PGQ524316 PQM524316 QAI524316 QKE524316 QUA524316 RDW524316 RNS524316 RXO524316 SHK524316 SRG524316 TBC524316 TKY524316 TUU524316 UEQ524316 UOM524316 UYI524316 VIE524316 VSA524316 WBW524316 WLS524316 WVO524316 JC524325:JC524330 SY524325:SY524330 ACU524325:ACU524330 AMQ524325:AMQ524330 AWM524325:AWM524330 BGI524325:BGI524330 BQE524325:BQE524330 CAA524325:CAA524330 CJW524325:CJW524330 CTS524325:CTS524330 DDO524325:DDO524330 DNK524325:DNK524330 DXG524325:DXG524330 EHC524325:EHC524330 EQY524325:EQY524330 FAU524325:FAU524330 FKQ524325:FKQ524330 FUM524325:FUM524330 GEI524325:GEI524330 GOE524325:GOE524330 GYA524325:GYA524330 HHW524325:HHW524330 HRS524325:HRS524330 IBO524325:IBO524330 ILK524325:ILK524330 IVG524325:IVG524330 JFC524325:JFC524330 JOY524325:JOY524330 JYU524325:JYU524330 KIQ524325:KIQ524330 KSM524325:KSM524330 LCI524325:LCI524330 LME524325:LME524330 LWA524325:LWA524330 MFW524325:MFW524330 MPS524325:MPS524330 MZO524325:MZO524330 NJK524325:NJK524330 NTG524325:NTG524330 ODC524325:ODC524330 OMY524325:OMY524330 OWU524325:OWU524330 PGQ524325:PGQ524330 PQM524325:PQM524330 QAI524325:QAI524330 QKE524325:QKE524330 QUA524325:QUA524330 RDW524325:RDW524330 RNS524325:RNS524330 RXO524325:RXO524330 SHK524325:SHK524330 SRG524325:SRG524330 TBC524325:TBC524330 TKY524325:TKY524330 TUU524325:TUU524330 UEQ524325:UEQ524330 UOM524325:UOM524330 UYI524325:UYI524330 VIE524325:VIE524330 VSA524325:VSA524330 WBW524325:WBW524330 WLS524325:WLS524330 WVO524325:WVO524330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JC589850 SY589850 ACU589850 AMQ589850 AWM589850 BGI589850 BQE589850 CAA589850 CJW589850 CTS589850 DDO589850 DNK589850 DXG589850 EHC589850 EQY589850 FAU589850 FKQ589850 FUM589850 GEI589850 GOE589850 GYA589850 HHW589850 HRS589850 IBO589850 ILK589850 IVG589850 JFC589850 JOY589850 JYU589850 KIQ589850 KSM589850 LCI589850 LME589850 LWA589850 MFW589850 MPS589850 MZO589850 NJK589850 NTG589850 ODC589850 OMY589850 OWU589850 PGQ589850 PQM589850 QAI589850 QKE589850 QUA589850 RDW589850 RNS589850 RXO589850 SHK589850 SRG589850 TBC589850 TKY589850 TUU589850 UEQ589850 UOM589850 UYI589850 VIE589850 VSA589850 WBW589850 WLS589850 WVO589850 JC589852 SY589852 ACU589852 AMQ589852 AWM589852 BGI589852 BQE589852 CAA589852 CJW589852 CTS589852 DDO589852 DNK589852 DXG589852 EHC589852 EQY589852 FAU589852 FKQ589852 FUM589852 GEI589852 GOE589852 GYA589852 HHW589852 HRS589852 IBO589852 ILK589852 IVG589852 JFC589852 JOY589852 JYU589852 KIQ589852 KSM589852 LCI589852 LME589852 LWA589852 MFW589852 MPS589852 MZO589852 NJK589852 NTG589852 ODC589852 OMY589852 OWU589852 PGQ589852 PQM589852 QAI589852 QKE589852 QUA589852 RDW589852 RNS589852 RXO589852 SHK589852 SRG589852 TBC589852 TKY589852 TUU589852 UEQ589852 UOM589852 UYI589852 VIE589852 VSA589852 WBW589852 WLS589852 WVO589852 JC589861:JC589866 SY589861:SY589866 ACU589861:ACU589866 AMQ589861:AMQ589866 AWM589861:AWM589866 BGI589861:BGI589866 BQE589861:BQE589866 CAA589861:CAA589866 CJW589861:CJW589866 CTS589861:CTS589866 DDO589861:DDO589866 DNK589861:DNK589866 DXG589861:DXG589866 EHC589861:EHC589866 EQY589861:EQY589866 FAU589861:FAU589866 FKQ589861:FKQ589866 FUM589861:FUM589866 GEI589861:GEI589866 GOE589861:GOE589866 GYA589861:GYA589866 HHW589861:HHW589866 HRS589861:HRS589866 IBO589861:IBO589866 ILK589861:ILK589866 IVG589861:IVG589866 JFC589861:JFC589866 JOY589861:JOY589866 JYU589861:JYU589866 KIQ589861:KIQ589866 KSM589861:KSM589866 LCI589861:LCI589866 LME589861:LME589866 LWA589861:LWA589866 MFW589861:MFW589866 MPS589861:MPS589866 MZO589861:MZO589866 NJK589861:NJK589866 NTG589861:NTG589866 ODC589861:ODC589866 OMY589861:OMY589866 OWU589861:OWU589866 PGQ589861:PGQ589866 PQM589861:PQM589866 QAI589861:QAI589866 QKE589861:QKE589866 QUA589861:QUA589866 RDW589861:RDW589866 RNS589861:RNS589866 RXO589861:RXO589866 SHK589861:SHK589866 SRG589861:SRG589866 TBC589861:TBC589866 TKY589861:TKY589866 TUU589861:TUU589866 UEQ589861:UEQ589866 UOM589861:UOM589866 UYI589861:UYI589866 VIE589861:VIE589866 VSA589861:VSA589866 WBW589861:WBW589866 WLS589861:WLS589866 WVO589861:WVO589866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JC655386 SY655386 ACU655386 AMQ655386 AWM655386 BGI655386 BQE655386 CAA655386 CJW655386 CTS655386 DDO655386 DNK655386 DXG655386 EHC655386 EQY655386 FAU655386 FKQ655386 FUM655386 GEI655386 GOE655386 GYA655386 HHW655386 HRS655386 IBO655386 ILK655386 IVG655386 JFC655386 JOY655386 JYU655386 KIQ655386 KSM655386 LCI655386 LME655386 LWA655386 MFW655386 MPS655386 MZO655386 NJK655386 NTG655386 ODC655386 OMY655386 OWU655386 PGQ655386 PQM655386 QAI655386 QKE655386 QUA655386 RDW655386 RNS655386 RXO655386 SHK655386 SRG655386 TBC655386 TKY655386 TUU655386 UEQ655386 UOM655386 UYI655386 VIE655386 VSA655386 WBW655386 WLS655386 WVO655386 JC655388 SY655388 ACU655388 AMQ655388 AWM655388 BGI655388 BQE655388 CAA655388 CJW655388 CTS655388 DDO655388 DNK655388 DXG655388 EHC655388 EQY655388 FAU655388 FKQ655388 FUM655388 GEI655388 GOE655388 GYA655388 HHW655388 HRS655388 IBO655388 ILK655388 IVG655388 JFC655388 JOY655388 JYU655388 KIQ655388 KSM655388 LCI655388 LME655388 LWA655388 MFW655388 MPS655388 MZO655388 NJK655388 NTG655388 ODC655388 OMY655388 OWU655388 PGQ655388 PQM655388 QAI655388 QKE655388 QUA655388 RDW655388 RNS655388 RXO655388 SHK655388 SRG655388 TBC655388 TKY655388 TUU655388 UEQ655388 UOM655388 UYI655388 VIE655388 VSA655388 WBW655388 WLS655388 WVO655388 JC655397:JC655402 SY655397:SY655402 ACU655397:ACU655402 AMQ655397:AMQ655402 AWM655397:AWM655402 BGI655397:BGI655402 BQE655397:BQE655402 CAA655397:CAA655402 CJW655397:CJW655402 CTS655397:CTS655402 DDO655397:DDO655402 DNK655397:DNK655402 DXG655397:DXG655402 EHC655397:EHC655402 EQY655397:EQY655402 FAU655397:FAU655402 FKQ655397:FKQ655402 FUM655397:FUM655402 GEI655397:GEI655402 GOE655397:GOE655402 GYA655397:GYA655402 HHW655397:HHW655402 HRS655397:HRS655402 IBO655397:IBO655402 ILK655397:ILK655402 IVG655397:IVG655402 JFC655397:JFC655402 JOY655397:JOY655402 JYU655397:JYU655402 KIQ655397:KIQ655402 KSM655397:KSM655402 LCI655397:LCI655402 LME655397:LME655402 LWA655397:LWA655402 MFW655397:MFW655402 MPS655397:MPS655402 MZO655397:MZO655402 NJK655397:NJK655402 NTG655397:NTG655402 ODC655397:ODC655402 OMY655397:OMY655402 OWU655397:OWU655402 PGQ655397:PGQ655402 PQM655397:PQM655402 QAI655397:QAI655402 QKE655397:QKE655402 QUA655397:QUA655402 RDW655397:RDW655402 RNS655397:RNS655402 RXO655397:RXO655402 SHK655397:SHK655402 SRG655397:SRG655402 TBC655397:TBC655402 TKY655397:TKY655402 TUU655397:TUU655402 UEQ655397:UEQ655402 UOM655397:UOM655402 UYI655397:UYI655402 VIE655397:VIE655402 VSA655397:VSA655402 WBW655397:WBW655402 WLS655397:WLS655402 WVO655397:WVO655402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JC720922 SY720922 ACU720922 AMQ720922 AWM720922 BGI720922 BQE720922 CAA720922 CJW720922 CTS720922 DDO720922 DNK720922 DXG720922 EHC720922 EQY720922 FAU720922 FKQ720922 FUM720922 GEI720922 GOE720922 GYA720922 HHW720922 HRS720922 IBO720922 ILK720922 IVG720922 JFC720922 JOY720922 JYU720922 KIQ720922 KSM720922 LCI720922 LME720922 LWA720922 MFW720922 MPS720922 MZO720922 NJK720922 NTG720922 ODC720922 OMY720922 OWU720922 PGQ720922 PQM720922 QAI720922 QKE720922 QUA720922 RDW720922 RNS720922 RXO720922 SHK720922 SRG720922 TBC720922 TKY720922 TUU720922 UEQ720922 UOM720922 UYI720922 VIE720922 VSA720922 WBW720922 WLS720922 WVO720922 JC720924 SY720924 ACU720924 AMQ720924 AWM720924 BGI720924 BQE720924 CAA720924 CJW720924 CTS720924 DDO720924 DNK720924 DXG720924 EHC720924 EQY720924 FAU720924 FKQ720924 FUM720924 GEI720924 GOE720924 GYA720924 HHW720924 HRS720924 IBO720924 ILK720924 IVG720924 JFC720924 JOY720924 JYU720924 KIQ720924 KSM720924 LCI720924 LME720924 LWA720924 MFW720924 MPS720924 MZO720924 NJK720924 NTG720924 ODC720924 OMY720924 OWU720924 PGQ720924 PQM720924 QAI720924 QKE720924 QUA720924 RDW720924 RNS720924 RXO720924 SHK720924 SRG720924 TBC720924 TKY720924 TUU720924 UEQ720924 UOM720924 UYI720924 VIE720924 VSA720924 WBW720924 WLS720924 WVO720924 JC720933:JC720938 SY720933:SY720938 ACU720933:ACU720938 AMQ720933:AMQ720938 AWM720933:AWM720938 BGI720933:BGI720938 BQE720933:BQE720938 CAA720933:CAA720938 CJW720933:CJW720938 CTS720933:CTS720938 DDO720933:DDO720938 DNK720933:DNK720938 DXG720933:DXG720938 EHC720933:EHC720938 EQY720933:EQY720938 FAU720933:FAU720938 FKQ720933:FKQ720938 FUM720933:FUM720938 GEI720933:GEI720938 GOE720933:GOE720938 GYA720933:GYA720938 HHW720933:HHW720938 HRS720933:HRS720938 IBO720933:IBO720938 ILK720933:ILK720938 IVG720933:IVG720938 JFC720933:JFC720938 JOY720933:JOY720938 JYU720933:JYU720938 KIQ720933:KIQ720938 KSM720933:KSM720938 LCI720933:LCI720938 LME720933:LME720938 LWA720933:LWA720938 MFW720933:MFW720938 MPS720933:MPS720938 MZO720933:MZO720938 NJK720933:NJK720938 NTG720933:NTG720938 ODC720933:ODC720938 OMY720933:OMY720938 OWU720933:OWU720938 PGQ720933:PGQ720938 PQM720933:PQM720938 QAI720933:QAI720938 QKE720933:QKE720938 QUA720933:QUA720938 RDW720933:RDW720938 RNS720933:RNS720938 RXO720933:RXO720938 SHK720933:SHK720938 SRG720933:SRG720938 TBC720933:TBC720938 TKY720933:TKY720938 TUU720933:TUU720938 UEQ720933:UEQ720938 UOM720933:UOM720938 UYI720933:UYI720938 VIE720933:VIE720938 VSA720933:VSA720938 WBW720933:WBW720938 WLS720933:WLS720938 WVO720933:WVO720938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JC786458 SY786458 ACU786458 AMQ786458 AWM786458 BGI786458 BQE786458 CAA786458 CJW786458 CTS786458 DDO786458 DNK786458 DXG786458 EHC786458 EQY786458 FAU786458 FKQ786458 FUM786458 GEI786458 GOE786458 GYA786458 HHW786458 HRS786458 IBO786458 ILK786458 IVG786458 JFC786458 JOY786458 JYU786458 KIQ786458 KSM786458 LCI786458 LME786458 LWA786458 MFW786458 MPS786458 MZO786458 NJK786458 NTG786458 ODC786458 OMY786458 OWU786458 PGQ786458 PQM786458 QAI786458 QKE786458 QUA786458 RDW786458 RNS786458 RXO786458 SHK786458 SRG786458 TBC786458 TKY786458 TUU786458 UEQ786458 UOM786458 UYI786458 VIE786458 VSA786458 WBW786458 WLS786458 WVO786458 JC786460 SY786460 ACU786460 AMQ786460 AWM786460 BGI786460 BQE786460 CAA786460 CJW786460 CTS786460 DDO786460 DNK786460 DXG786460 EHC786460 EQY786460 FAU786460 FKQ786460 FUM786460 GEI786460 GOE786460 GYA786460 HHW786460 HRS786460 IBO786460 ILK786460 IVG786460 JFC786460 JOY786460 JYU786460 KIQ786460 KSM786460 LCI786460 LME786460 LWA786460 MFW786460 MPS786460 MZO786460 NJK786460 NTG786460 ODC786460 OMY786460 OWU786460 PGQ786460 PQM786460 QAI786460 QKE786460 QUA786460 RDW786460 RNS786460 RXO786460 SHK786460 SRG786460 TBC786460 TKY786460 TUU786460 UEQ786460 UOM786460 UYI786460 VIE786460 VSA786460 WBW786460 WLS786460 WVO786460 JC786469:JC786474 SY786469:SY786474 ACU786469:ACU786474 AMQ786469:AMQ786474 AWM786469:AWM786474 BGI786469:BGI786474 BQE786469:BQE786474 CAA786469:CAA786474 CJW786469:CJW786474 CTS786469:CTS786474 DDO786469:DDO786474 DNK786469:DNK786474 DXG786469:DXG786474 EHC786469:EHC786474 EQY786469:EQY786474 FAU786469:FAU786474 FKQ786469:FKQ786474 FUM786469:FUM786474 GEI786469:GEI786474 GOE786469:GOE786474 GYA786469:GYA786474 HHW786469:HHW786474 HRS786469:HRS786474 IBO786469:IBO786474 ILK786469:ILK786474 IVG786469:IVG786474 JFC786469:JFC786474 JOY786469:JOY786474 JYU786469:JYU786474 KIQ786469:KIQ786474 KSM786469:KSM786474 LCI786469:LCI786474 LME786469:LME786474 LWA786469:LWA786474 MFW786469:MFW786474 MPS786469:MPS786474 MZO786469:MZO786474 NJK786469:NJK786474 NTG786469:NTG786474 ODC786469:ODC786474 OMY786469:OMY786474 OWU786469:OWU786474 PGQ786469:PGQ786474 PQM786469:PQM786474 QAI786469:QAI786474 QKE786469:QKE786474 QUA786469:QUA786474 RDW786469:RDW786474 RNS786469:RNS786474 RXO786469:RXO786474 SHK786469:SHK786474 SRG786469:SRG786474 TBC786469:TBC786474 TKY786469:TKY786474 TUU786469:TUU786474 UEQ786469:UEQ786474 UOM786469:UOM786474 UYI786469:UYI786474 VIE786469:VIE786474 VSA786469:VSA786474 WBW786469:WBW786474 WLS786469:WLS786474 WVO786469:WVO786474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JC851994 SY851994 ACU851994 AMQ851994 AWM851994 BGI851994 BQE851994 CAA851994 CJW851994 CTS851994 DDO851994 DNK851994 DXG851994 EHC851994 EQY851994 FAU851994 FKQ851994 FUM851994 GEI851994 GOE851994 GYA851994 HHW851994 HRS851994 IBO851994 ILK851994 IVG851994 JFC851994 JOY851994 JYU851994 KIQ851994 KSM851994 LCI851994 LME851994 LWA851994 MFW851994 MPS851994 MZO851994 NJK851994 NTG851994 ODC851994 OMY851994 OWU851994 PGQ851994 PQM851994 QAI851994 QKE851994 QUA851994 RDW851994 RNS851994 RXO851994 SHK851994 SRG851994 TBC851994 TKY851994 TUU851994 UEQ851994 UOM851994 UYI851994 VIE851994 VSA851994 WBW851994 WLS851994 WVO851994 JC851996 SY851996 ACU851996 AMQ851996 AWM851996 BGI851996 BQE851996 CAA851996 CJW851996 CTS851996 DDO851996 DNK851996 DXG851996 EHC851996 EQY851996 FAU851996 FKQ851996 FUM851996 GEI851996 GOE851996 GYA851996 HHW851996 HRS851996 IBO851996 ILK851996 IVG851996 JFC851996 JOY851996 JYU851996 KIQ851996 KSM851996 LCI851996 LME851996 LWA851996 MFW851996 MPS851996 MZO851996 NJK851996 NTG851996 ODC851996 OMY851996 OWU851996 PGQ851996 PQM851996 QAI851996 QKE851996 QUA851996 RDW851996 RNS851996 RXO851996 SHK851996 SRG851996 TBC851996 TKY851996 TUU851996 UEQ851996 UOM851996 UYI851996 VIE851996 VSA851996 WBW851996 WLS851996 WVO851996 JC852005:JC852010 SY852005:SY852010 ACU852005:ACU852010 AMQ852005:AMQ852010 AWM852005:AWM852010 BGI852005:BGI852010 BQE852005:BQE852010 CAA852005:CAA852010 CJW852005:CJW852010 CTS852005:CTS852010 DDO852005:DDO852010 DNK852005:DNK852010 DXG852005:DXG852010 EHC852005:EHC852010 EQY852005:EQY852010 FAU852005:FAU852010 FKQ852005:FKQ852010 FUM852005:FUM852010 GEI852005:GEI852010 GOE852005:GOE852010 GYA852005:GYA852010 HHW852005:HHW852010 HRS852005:HRS852010 IBO852005:IBO852010 ILK852005:ILK852010 IVG852005:IVG852010 JFC852005:JFC852010 JOY852005:JOY852010 JYU852005:JYU852010 KIQ852005:KIQ852010 KSM852005:KSM852010 LCI852005:LCI852010 LME852005:LME852010 LWA852005:LWA852010 MFW852005:MFW852010 MPS852005:MPS852010 MZO852005:MZO852010 NJK852005:NJK852010 NTG852005:NTG852010 ODC852005:ODC852010 OMY852005:OMY852010 OWU852005:OWU852010 PGQ852005:PGQ852010 PQM852005:PQM852010 QAI852005:QAI852010 QKE852005:QKE852010 QUA852005:QUA852010 RDW852005:RDW852010 RNS852005:RNS852010 RXO852005:RXO852010 SHK852005:SHK852010 SRG852005:SRG852010 TBC852005:TBC852010 TKY852005:TKY852010 TUU852005:TUU852010 UEQ852005:UEQ852010 UOM852005:UOM852010 UYI852005:UYI852010 VIE852005:VIE852010 VSA852005:VSA852010 WBW852005:WBW852010 WLS852005:WLS852010 WVO852005:WVO852010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JC917530 SY917530 ACU917530 AMQ917530 AWM917530 BGI917530 BQE917530 CAA917530 CJW917530 CTS917530 DDO917530 DNK917530 DXG917530 EHC917530 EQY917530 FAU917530 FKQ917530 FUM917530 GEI917530 GOE917530 GYA917530 HHW917530 HRS917530 IBO917530 ILK917530 IVG917530 JFC917530 JOY917530 JYU917530 KIQ917530 KSM917530 LCI917530 LME917530 LWA917530 MFW917530 MPS917530 MZO917530 NJK917530 NTG917530 ODC917530 OMY917530 OWU917530 PGQ917530 PQM917530 QAI917530 QKE917530 QUA917530 RDW917530 RNS917530 RXO917530 SHK917530 SRG917530 TBC917530 TKY917530 TUU917530 UEQ917530 UOM917530 UYI917530 VIE917530 VSA917530 WBW917530 WLS917530 WVO917530 JC917532 SY917532 ACU917532 AMQ917532 AWM917532 BGI917532 BQE917532 CAA917532 CJW917532 CTS917532 DDO917532 DNK917532 DXG917532 EHC917532 EQY917532 FAU917532 FKQ917532 FUM917532 GEI917532 GOE917532 GYA917532 HHW917532 HRS917532 IBO917532 ILK917532 IVG917532 JFC917532 JOY917532 JYU917532 KIQ917532 KSM917532 LCI917532 LME917532 LWA917532 MFW917532 MPS917532 MZO917532 NJK917532 NTG917532 ODC917532 OMY917532 OWU917532 PGQ917532 PQM917532 QAI917532 QKE917532 QUA917532 RDW917532 RNS917532 RXO917532 SHK917532 SRG917532 TBC917532 TKY917532 TUU917532 UEQ917532 UOM917532 UYI917532 VIE917532 VSA917532 WBW917532 WLS917532 WVO917532 JC917541:JC917546 SY917541:SY917546 ACU917541:ACU917546 AMQ917541:AMQ917546 AWM917541:AWM917546 BGI917541:BGI917546 BQE917541:BQE917546 CAA917541:CAA917546 CJW917541:CJW917546 CTS917541:CTS917546 DDO917541:DDO917546 DNK917541:DNK917546 DXG917541:DXG917546 EHC917541:EHC917546 EQY917541:EQY917546 FAU917541:FAU917546 FKQ917541:FKQ917546 FUM917541:FUM917546 GEI917541:GEI917546 GOE917541:GOE917546 GYA917541:GYA917546 HHW917541:HHW917546 HRS917541:HRS917546 IBO917541:IBO917546 ILK917541:ILK917546 IVG917541:IVG917546 JFC917541:JFC917546 JOY917541:JOY917546 JYU917541:JYU917546 KIQ917541:KIQ917546 KSM917541:KSM917546 LCI917541:LCI917546 LME917541:LME917546 LWA917541:LWA917546 MFW917541:MFW917546 MPS917541:MPS917546 MZO917541:MZO917546 NJK917541:NJK917546 NTG917541:NTG917546 ODC917541:ODC917546 OMY917541:OMY917546 OWU917541:OWU917546 PGQ917541:PGQ917546 PQM917541:PQM917546 QAI917541:QAI917546 QKE917541:QKE917546 QUA917541:QUA917546 RDW917541:RDW917546 RNS917541:RNS917546 RXO917541:RXO917546 SHK917541:SHK917546 SRG917541:SRG917546 TBC917541:TBC917546 TKY917541:TKY917546 TUU917541:TUU917546 UEQ917541:UEQ917546 UOM917541:UOM917546 UYI917541:UYI917546 VIE917541:VIE917546 VSA917541:VSA917546 WBW917541:WBW917546 WLS917541:WLS917546 WVO917541:WVO917546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JC983066 SY983066 ACU983066 AMQ983066 AWM983066 BGI983066 BQE983066 CAA983066 CJW983066 CTS983066 DDO983066 DNK983066 DXG983066 EHC983066 EQY983066 FAU983066 FKQ983066 FUM983066 GEI983066 GOE983066 GYA983066 HHW983066 HRS983066 IBO983066 ILK983066 IVG983066 JFC983066 JOY983066 JYU983066 KIQ983066 KSM983066 LCI983066 LME983066 LWA983066 MFW983066 MPS983066 MZO983066 NJK983066 NTG983066 ODC983066 OMY983066 OWU983066 PGQ983066 PQM983066 QAI983066 QKE983066 QUA983066 RDW983066 RNS983066 RXO983066 SHK983066 SRG983066 TBC983066 TKY983066 TUU983066 UEQ983066 UOM983066 UYI983066 VIE983066 VSA983066 WBW983066 WLS983066 WVO983066 JC983068 SY983068 ACU983068 AMQ983068 AWM983068 BGI983068 BQE983068 CAA983068 CJW983068 CTS983068 DDO983068 DNK983068 DXG983068 EHC983068 EQY983068 FAU983068 FKQ983068 FUM983068 GEI983068 GOE983068 GYA983068 HHW983068 HRS983068 IBO983068 ILK983068 IVG983068 JFC983068 JOY983068 JYU983068 KIQ983068 KSM983068 LCI983068 LME983068 LWA983068 MFW983068 MPS983068 MZO983068 NJK983068 NTG983068 ODC983068 OMY983068 OWU983068 PGQ983068 PQM983068 QAI983068 QKE983068 QUA983068 RDW983068 RNS983068 RXO983068 SHK983068 SRG983068 TBC983068 TKY983068 TUU983068 UEQ983068 UOM983068 UYI983068 VIE983068 VSA983068 WBW983068 WLS983068 WVO983068 JC983077:JC983082 SY983077:SY983082 ACU983077:ACU983082 AMQ983077:AMQ983082 AWM983077:AWM983082 BGI983077:BGI983082 BQE983077:BQE983082 CAA983077:CAA983082 CJW983077:CJW983082 CTS983077:CTS983082 DDO983077:DDO983082 DNK983077:DNK983082 DXG983077:DXG983082 EHC983077:EHC983082 EQY983077:EQY983082 FAU983077:FAU983082 FKQ983077:FKQ983082 FUM983077:FUM983082 GEI983077:GEI983082 GOE983077:GOE983082 GYA983077:GYA983082 HHW983077:HHW983082 HRS983077:HRS983082 IBO983077:IBO983082 ILK983077:ILK983082 IVG983077:IVG983082 JFC983077:JFC983082 JOY983077:JOY983082 JYU983077:JYU983082 KIQ983077:KIQ983082 KSM983077:KSM983082 LCI983077:LCI983082 LME983077:LME983082 LWA983077:LWA983082 MFW983077:MFW983082 MPS983077:MPS983082 MZO983077:MZO983082 NJK983077:NJK983082 NTG983077:NTG983082 ODC983077:ODC983082 OMY983077:OMY983082 OWU983077:OWU983082 PGQ983077:PGQ983082 PQM983077:PQM983082 QAI983077:QAI983082 QKE983077:QKE983082 QUA983077:QUA983082 RDW983077:RDW983082 RNS983077:RNS983082 RXO983077:RXO983082 SHK983077:SHK983082 SRG983077:SRG983082 TBC983077:TBC983082 TKY983077:TKY983082 TUU983077:TUU983082 UEQ983077:UEQ983082 UOM983077:UOM983082 UYI983077:UYI983082 VIE983077:VIE983082 VSA983077:VSA983082 WBW983077:WBW983082 WLS983077:WLS983082 WVO983077:WVO983082 JC93:JC95 JC65548:JC65550 JC65553:JC65554 JC65628:JC65631 JC131084:JC131086 JC131089:JC131090 JC131164:JC131167 JC196620:JC196622 JC196625:JC196626 JC196700:JC196703 JC262156:JC262158 JC262161:JC262162 JC262236:JC262239 JC327692:JC327694 JC327697:JC327698 JC327772:JC327775 JC393228:JC393230 JC393233:JC393234 JC393308:JC393311 JC458764:JC458766 JC458769:JC458770 JC458844:JC458847 JC524300:JC524302 JC524305:JC524306 JC524380:JC524383 JC589836:JC589838 JC589841:JC589842 JC589916:JC589919 JC655372:JC655374 JC655377:JC655378 JC655452:JC655455 JC720908:JC720910 JC720913:JC720914 JC720988:JC720991 JC786444:JC786446 JC786449:JC786450 JC786524:JC786527 JC851980:JC851982 JC851985:JC851986 JC852060:JC852063 JC917516:JC917518 JC917521:JC917522 JC917596:JC917599 JC983052:JC983054 JC983057:JC983058 JC983132:JC983135 SY93:SY95 SY65548:SY65550 SY65553:SY65554 SY65628:SY65631 SY131084:SY131086 SY131089:SY131090 SY131164:SY131167 SY196620:SY196622 SY196625:SY196626 SY196700:SY196703 SY262156:SY262158 SY262161:SY262162 SY262236:SY262239 SY327692:SY327694 SY327697:SY327698 SY327772:SY327775 SY393228:SY393230 SY393233:SY393234 SY393308:SY393311 SY458764:SY458766 SY458769:SY458770 SY458844:SY458847 SY524300:SY524302 SY524305:SY524306 SY524380:SY524383 SY589836:SY589838 SY589841:SY589842 SY589916:SY589919 SY655372:SY655374 SY655377:SY655378 SY655452:SY655455 SY720908:SY720910 SY720913:SY720914 SY720988:SY720991 SY786444:SY786446 SY786449:SY786450 SY786524:SY786527 SY851980:SY851982 SY851985:SY851986 SY852060:SY852063 SY917516:SY917518 SY917521:SY917522 SY917596:SY917599 SY983052:SY983054 SY983057:SY983058 SY983132:SY983135 ACU93:ACU95 ACU65548:ACU65550 ACU65553:ACU65554 ACU65628:ACU65631 ACU131084:ACU131086 ACU131089:ACU131090 ACU131164:ACU131167 ACU196620:ACU196622 ACU196625:ACU196626 ACU196700:ACU196703 ACU262156:ACU262158 ACU262161:ACU262162 ACU262236:ACU262239 ACU327692:ACU327694 ACU327697:ACU327698 ACU327772:ACU327775 ACU393228:ACU393230 ACU393233:ACU393234 ACU393308:ACU393311 ACU458764:ACU458766 ACU458769:ACU458770 ACU458844:ACU458847 ACU524300:ACU524302 ACU524305:ACU524306 ACU524380:ACU524383 ACU589836:ACU589838 ACU589841:ACU589842 ACU589916:ACU589919 ACU655372:ACU655374 ACU655377:ACU655378 ACU655452:ACU655455 ACU720908:ACU720910 ACU720913:ACU720914 ACU720988:ACU720991 ACU786444:ACU786446 ACU786449:ACU786450 ACU786524:ACU786527 ACU851980:ACU851982 ACU851985:ACU851986 ACU852060:ACU852063 ACU917516:ACU917518 ACU917521:ACU917522 ACU917596:ACU917599 ACU983052:ACU983054 ACU983057:ACU983058 ACU983132:ACU983135 AMQ93:AMQ95 AMQ65548:AMQ65550 AMQ65553:AMQ65554 AMQ65628:AMQ65631 AMQ131084:AMQ131086 AMQ131089:AMQ131090 AMQ131164:AMQ131167 AMQ196620:AMQ196622 AMQ196625:AMQ196626 AMQ196700:AMQ196703 AMQ262156:AMQ262158 AMQ262161:AMQ262162 AMQ262236:AMQ262239 AMQ327692:AMQ327694 AMQ327697:AMQ327698 AMQ327772:AMQ327775 AMQ393228:AMQ393230 AMQ393233:AMQ393234 AMQ393308:AMQ393311 AMQ458764:AMQ458766 AMQ458769:AMQ458770 AMQ458844:AMQ458847 AMQ524300:AMQ524302 AMQ524305:AMQ524306 AMQ524380:AMQ524383 AMQ589836:AMQ589838 AMQ589841:AMQ589842 AMQ589916:AMQ589919 AMQ655372:AMQ655374 AMQ655377:AMQ655378 AMQ655452:AMQ655455 AMQ720908:AMQ720910 AMQ720913:AMQ720914 AMQ720988:AMQ720991 AMQ786444:AMQ786446 AMQ786449:AMQ786450 AMQ786524:AMQ786527 AMQ851980:AMQ851982 AMQ851985:AMQ851986 AMQ852060:AMQ852063 AMQ917516:AMQ917518 AMQ917521:AMQ917522 AMQ917596:AMQ917599 AMQ983052:AMQ983054 AMQ983057:AMQ983058 AMQ983132:AMQ983135 AWM93:AWM95 AWM65548:AWM65550 AWM65553:AWM65554 AWM65628:AWM65631 AWM131084:AWM131086 AWM131089:AWM131090 AWM131164:AWM131167 AWM196620:AWM196622 AWM196625:AWM196626 AWM196700:AWM196703 AWM262156:AWM262158 AWM262161:AWM262162 AWM262236:AWM262239 AWM327692:AWM327694 AWM327697:AWM327698 AWM327772:AWM327775 AWM393228:AWM393230 AWM393233:AWM393234 AWM393308:AWM393311 AWM458764:AWM458766 AWM458769:AWM458770 AWM458844:AWM458847 AWM524300:AWM524302 AWM524305:AWM524306 AWM524380:AWM524383 AWM589836:AWM589838 AWM589841:AWM589842 AWM589916:AWM589919 AWM655372:AWM655374 AWM655377:AWM655378 AWM655452:AWM655455 AWM720908:AWM720910 AWM720913:AWM720914 AWM720988:AWM720991 AWM786444:AWM786446 AWM786449:AWM786450 AWM786524:AWM786527 AWM851980:AWM851982 AWM851985:AWM851986 AWM852060:AWM852063 AWM917516:AWM917518 AWM917521:AWM917522 AWM917596:AWM917599 AWM983052:AWM983054 AWM983057:AWM983058 AWM983132:AWM983135 BGI93:BGI95 BGI65548:BGI65550 BGI65553:BGI65554 BGI65628:BGI65631 BGI131084:BGI131086 BGI131089:BGI131090 BGI131164:BGI131167 BGI196620:BGI196622 BGI196625:BGI196626 BGI196700:BGI196703 BGI262156:BGI262158 BGI262161:BGI262162 BGI262236:BGI262239 BGI327692:BGI327694 BGI327697:BGI327698 BGI327772:BGI327775 BGI393228:BGI393230 BGI393233:BGI393234 BGI393308:BGI393311 BGI458764:BGI458766 BGI458769:BGI458770 BGI458844:BGI458847 BGI524300:BGI524302 BGI524305:BGI524306 BGI524380:BGI524383 BGI589836:BGI589838 BGI589841:BGI589842 BGI589916:BGI589919 BGI655372:BGI655374 BGI655377:BGI655378 BGI655452:BGI655455 BGI720908:BGI720910 BGI720913:BGI720914 BGI720988:BGI720991 BGI786444:BGI786446 BGI786449:BGI786450 BGI786524:BGI786527 BGI851980:BGI851982 BGI851985:BGI851986 BGI852060:BGI852063 BGI917516:BGI917518 BGI917521:BGI917522 BGI917596:BGI917599 BGI983052:BGI983054 BGI983057:BGI983058 BGI983132:BGI983135 BQE93:BQE95 BQE65548:BQE65550 BQE65553:BQE65554 BQE65628:BQE65631 BQE131084:BQE131086 BQE131089:BQE131090 BQE131164:BQE131167 BQE196620:BQE196622 BQE196625:BQE196626 BQE196700:BQE196703 BQE262156:BQE262158 BQE262161:BQE262162 BQE262236:BQE262239 BQE327692:BQE327694 BQE327697:BQE327698 BQE327772:BQE327775 BQE393228:BQE393230 BQE393233:BQE393234 BQE393308:BQE393311 BQE458764:BQE458766 BQE458769:BQE458770 BQE458844:BQE458847 BQE524300:BQE524302 BQE524305:BQE524306 BQE524380:BQE524383 BQE589836:BQE589838 BQE589841:BQE589842 BQE589916:BQE589919 BQE655372:BQE655374 BQE655377:BQE655378 BQE655452:BQE655455 BQE720908:BQE720910 BQE720913:BQE720914 BQE720988:BQE720991 BQE786444:BQE786446 BQE786449:BQE786450 BQE786524:BQE786527 BQE851980:BQE851982 BQE851985:BQE851986 BQE852060:BQE852063 BQE917516:BQE917518 BQE917521:BQE917522 BQE917596:BQE917599 BQE983052:BQE983054 BQE983057:BQE983058 BQE983132:BQE983135 CAA93:CAA95 CAA65548:CAA65550 CAA65553:CAA65554 CAA65628:CAA65631 CAA131084:CAA131086 CAA131089:CAA131090 CAA131164:CAA131167 CAA196620:CAA196622 CAA196625:CAA196626 CAA196700:CAA196703 CAA262156:CAA262158 CAA262161:CAA262162 CAA262236:CAA262239 CAA327692:CAA327694 CAA327697:CAA327698 CAA327772:CAA327775 CAA393228:CAA393230 CAA393233:CAA393234 CAA393308:CAA393311 CAA458764:CAA458766 CAA458769:CAA458770 CAA458844:CAA458847 CAA524300:CAA524302 CAA524305:CAA524306 CAA524380:CAA524383 CAA589836:CAA589838 CAA589841:CAA589842 CAA589916:CAA589919 CAA655372:CAA655374 CAA655377:CAA655378 CAA655452:CAA655455 CAA720908:CAA720910 CAA720913:CAA720914 CAA720988:CAA720991 CAA786444:CAA786446 CAA786449:CAA786450 CAA786524:CAA786527 CAA851980:CAA851982 CAA851985:CAA851986 CAA852060:CAA852063 CAA917516:CAA917518 CAA917521:CAA917522 CAA917596:CAA917599 CAA983052:CAA983054 CAA983057:CAA983058 CAA983132:CAA983135 CJW93:CJW95 CJW65548:CJW65550 CJW65553:CJW65554 CJW65628:CJW65631 CJW131084:CJW131086 CJW131089:CJW131090 CJW131164:CJW131167 CJW196620:CJW196622 CJW196625:CJW196626 CJW196700:CJW196703 CJW262156:CJW262158 CJW262161:CJW262162 CJW262236:CJW262239 CJW327692:CJW327694 CJW327697:CJW327698 CJW327772:CJW327775 CJW393228:CJW393230 CJW393233:CJW393234 CJW393308:CJW393311 CJW458764:CJW458766 CJW458769:CJW458770 CJW458844:CJW458847 CJW524300:CJW524302 CJW524305:CJW524306 CJW524380:CJW524383 CJW589836:CJW589838 CJW589841:CJW589842 CJW589916:CJW589919 CJW655372:CJW655374 CJW655377:CJW655378 CJW655452:CJW655455 CJW720908:CJW720910 CJW720913:CJW720914 CJW720988:CJW720991 CJW786444:CJW786446 CJW786449:CJW786450 CJW786524:CJW786527 CJW851980:CJW851982 CJW851985:CJW851986 CJW852060:CJW852063 CJW917516:CJW917518 CJW917521:CJW917522 CJW917596:CJW917599 CJW983052:CJW983054 CJW983057:CJW983058 CJW983132:CJW983135 CTS93:CTS95 CTS65548:CTS65550 CTS65553:CTS65554 CTS65628:CTS65631 CTS131084:CTS131086 CTS131089:CTS131090 CTS131164:CTS131167 CTS196620:CTS196622 CTS196625:CTS196626 CTS196700:CTS196703 CTS262156:CTS262158 CTS262161:CTS262162 CTS262236:CTS262239 CTS327692:CTS327694 CTS327697:CTS327698 CTS327772:CTS327775 CTS393228:CTS393230 CTS393233:CTS393234 CTS393308:CTS393311 CTS458764:CTS458766 CTS458769:CTS458770 CTS458844:CTS458847 CTS524300:CTS524302 CTS524305:CTS524306 CTS524380:CTS524383 CTS589836:CTS589838 CTS589841:CTS589842 CTS589916:CTS589919 CTS655372:CTS655374 CTS655377:CTS655378 CTS655452:CTS655455 CTS720908:CTS720910 CTS720913:CTS720914 CTS720988:CTS720991 CTS786444:CTS786446 CTS786449:CTS786450 CTS786524:CTS786527 CTS851980:CTS851982 CTS851985:CTS851986 CTS852060:CTS852063 CTS917516:CTS917518 CTS917521:CTS917522 CTS917596:CTS917599 CTS983052:CTS983054 CTS983057:CTS983058 CTS983132:CTS983135 DDO93:DDO95 DDO65548:DDO65550 DDO65553:DDO65554 DDO65628:DDO65631 DDO131084:DDO131086 DDO131089:DDO131090 DDO131164:DDO131167 DDO196620:DDO196622 DDO196625:DDO196626 DDO196700:DDO196703 DDO262156:DDO262158 DDO262161:DDO262162 DDO262236:DDO262239 DDO327692:DDO327694 DDO327697:DDO327698 DDO327772:DDO327775 DDO393228:DDO393230 DDO393233:DDO393234 DDO393308:DDO393311 DDO458764:DDO458766 DDO458769:DDO458770 DDO458844:DDO458847 DDO524300:DDO524302 DDO524305:DDO524306 DDO524380:DDO524383 DDO589836:DDO589838 DDO589841:DDO589842 DDO589916:DDO589919 DDO655372:DDO655374 DDO655377:DDO655378 DDO655452:DDO655455 DDO720908:DDO720910 DDO720913:DDO720914 DDO720988:DDO720991 DDO786444:DDO786446 DDO786449:DDO786450 DDO786524:DDO786527 DDO851980:DDO851982 DDO851985:DDO851986 DDO852060:DDO852063 DDO917516:DDO917518 DDO917521:DDO917522 DDO917596:DDO917599 DDO983052:DDO983054 DDO983057:DDO983058 DDO983132:DDO983135 DNK93:DNK95 DNK65548:DNK65550 DNK65553:DNK65554 DNK65628:DNK65631 DNK131084:DNK131086 DNK131089:DNK131090 DNK131164:DNK131167 DNK196620:DNK196622 DNK196625:DNK196626 DNK196700:DNK196703 DNK262156:DNK262158 DNK262161:DNK262162 DNK262236:DNK262239 DNK327692:DNK327694 DNK327697:DNK327698 DNK327772:DNK327775 DNK393228:DNK393230 DNK393233:DNK393234 DNK393308:DNK393311 DNK458764:DNK458766 DNK458769:DNK458770 DNK458844:DNK458847 DNK524300:DNK524302 DNK524305:DNK524306 DNK524380:DNK524383 DNK589836:DNK589838 DNK589841:DNK589842 DNK589916:DNK589919 DNK655372:DNK655374 DNK655377:DNK655378 DNK655452:DNK655455 DNK720908:DNK720910 DNK720913:DNK720914 DNK720988:DNK720991 DNK786444:DNK786446 DNK786449:DNK786450 DNK786524:DNK786527 DNK851980:DNK851982 DNK851985:DNK851986 DNK852060:DNK852063 DNK917516:DNK917518 DNK917521:DNK917522 DNK917596:DNK917599 DNK983052:DNK983054 DNK983057:DNK983058 DNK983132:DNK983135 DXG93:DXG95 DXG65548:DXG65550 DXG65553:DXG65554 DXG65628:DXG65631 DXG131084:DXG131086 DXG131089:DXG131090 DXG131164:DXG131167 DXG196620:DXG196622 DXG196625:DXG196626 DXG196700:DXG196703 DXG262156:DXG262158 DXG262161:DXG262162 DXG262236:DXG262239 DXG327692:DXG327694 DXG327697:DXG327698 DXG327772:DXG327775 DXG393228:DXG393230 DXG393233:DXG393234 DXG393308:DXG393311 DXG458764:DXG458766 DXG458769:DXG458770 DXG458844:DXG458847 DXG524300:DXG524302 DXG524305:DXG524306 DXG524380:DXG524383 DXG589836:DXG589838 DXG589841:DXG589842 DXG589916:DXG589919 DXG655372:DXG655374 DXG655377:DXG655378 DXG655452:DXG655455 DXG720908:DXG720910 DXG720913:DXG720914 DXG720988:DXG720991 DXG786444:DXG786446 DXG786449:DXG786450 DXG786524:DXG786527 DXG851980:DXG851982 DXG851985:DXG851986 DXG852060:DXG852063 DXG917516:DXG917518 DXG917521:DXG917522 DXG917596:DXG917599 DXG983052:DXG983054 DXG983057:DXG983058 DXG983132:DXG983135 EHC93:EHC95 EHC65548:EHC65550 EHC65553:EHC65554 EHC65628:EHC65631 EHC131084:EHC131086 EHC131089:EHC131090 EHC131164:EHC131167 EHC196620:EHC196622 EHC196625:EHC196626 EHC196700:EHC196703 EHC262156:EHC262158 EHC262161:EHC262162 EHC262236:EHC262239 EHC327692:EHC327694 EHC327697:EHC327698 EHC327772:EHC327775 EHC393228:EHC393230 EHC393233:EHC393234 EHC393308:EHC393311 EHC458764:EHC458766 EHC458769:EHC458770 EHC458844:EHC458847 EHC524300:EHC524302 EHC524305:EHC524306 EHC524380:EHC524383 EHC589836:EHC589838 EHC589841:EHC589842 EHC589916:EHC589919 EHC655372:EHC655374 EHC655377:EHC655378 EHC655452:EHC655455 EHC720908:EHC720910 EHC720913:EHC720914 EHC720988:EHC720991 EHC786444:EHC786446 EHC786449:EHC786450 EHC786524:EHC786527 EHC851980:EHC851982 EHC851985:EHC851986 EHC852060:EHC852063 EHC917516:EHC917518 EHC917521:EHC917522 EHC917596:EHC917599 EHC983052:EHC983054 EHC983057:EHC983058 EHC983132:EHC983135 EQY93:EQY95 EQY65548:EQY65550 EQY65553:EQY65554 EQY65628:EQY65631 EQY131084:EQY131086 EQY131089:EQY131090 EQY131164:EQY131167 EQY196620:EQY196622 EQY196625:EQY196626 EQY196700:EQY196703 EQY262156:EQY262158 EQY262161:EQY262162 EQY262236:EQY262239 EQY327692:EQY327694 EQY327697:EQY327698 EQY327772:EQY327775 EQY393228:EQY393230 EQY393233:EQY393234 EQY393308:EQY393311 EQY458764:EQY458766 EQY458769:EQY458770 EQY458844:EQY458847 EQY524300:EQY524302 EQY524305:EQY524306 EQY524380:EQY524383 EQY589836:EQY589838 EQY589841:EQY589842 EQY589916:EQY589919 EQY655372:EQY655374 EQY655377:EQY655378 EQY655452:EQY655455 EQY720908:EQY720910 EQY720913:EQY720914 EQY720988:EQY720991 EQY786444:EQY786446 EQY786449:EQY786450 EQY786524:EQY786527 EQY851980:EQY851982 EQY851985:EQY851986 EQY852060:EQY852063 EQY917516:EQY917518 EQY917521:EQY917522 EQY917596:EQY917599 EQY983052:EQY983054 EQY983057:EQY983058 EQY983132:EQY983135 FAU93:FAU95 FAU65548:FAU65550 FAU65553:FAU65554 FAU65628:FAU65631 FAU131084:FAU131086 FAU131089:FAU131090 FAU131164:FAU131167 FAU196620:FAU196622 FAU196625:FAU196626 FAU196700:FAU196703 FAU262156:FAU262158 FAU262161:FAU262162 FAU262236:FAU262239 FAU327692:FAU327694 FAU327697:FAU327698 FAU327772:FAU327775 FAU393228:FAU393230 FAU393233:FAU393234 FAU393308:FAU393311 FAU458764:FAU458766 FAU458769:FAU458770 FAU458844:FAU458847 FAU524300:FAU524302 FAU524305:FAU524306 FAU524380:FAU524383 FAU589836:FAU589838 FAU589841:FAU589842 FAU589916:FAU589919 FAU655372:FAU655374 FAU655377:FAU655378 FAU655452:FAU655455 FAU720908:FAU720910 FAU720913:FAU720914 FAU720988:FAU720991 FAU786444:FAU786446 FAU786449:FAU786450 FAU786524:FAU786527 FAU851980:FAU851982 FAU851985:FAU851986 FAU852060:FAU852063 FAU917516:FAU917518 FAU917521:FAU917522 FAU917596:FAU917599 FAU983052:FAU983054 FAU983057:FAU983058 FAU983132:FAU983135 FKQ93:FKQ95 FKQ65548:FKQ65550 FKQ65553:FKQ65554 FKQ65628:FKQ65631 FKQ131084:FKQ131086 FKQ131089:FKQ131090 FKQ131164:FKQ131167 FKQ196620:FKQ196622 FKQ196625:FKQ196626 FKQ196700:FKQ196703 FKQ262156:FKQ262158 FKQ262161:FKQ262162 FKQ262236:FKQ262239 FKQ327692:FKQ327694 FKQ327697:FKQ327698 FKQ327772:FKQ327775 FKQ393228:FKQ393230 FKQ393233:FKQ393234 FKQ393308:FKQ393311 FKQ458764:FKQ458766 FKQ458769:FKQ458770 FKQ458844:FKQ458847 FKQ524300:FKQ524302 FKQ524305:FKQ524306 FKQ524380:FKQ524383 FKQ589836:FKQ589838 FKQ589841:FKQ589842 FKQ589916:FKQ589919 FKQ655372:FKQ655374 FKQ655377:FKQ655378 FKQ655452:FKQ655455 FKQ720908:FKQ720910 FKQ720913:FKQ720914 FKQ720988:FKQ720991 FKQ786444:FKQ786446 FKQ786449:FKQ786450 FKQ786524:FKQ786527 FKQ851980:FKQ851982 FKQ851985:FKQ851986 FKQ852060:FKQ852063 FKQ917516:FKQ917518 FKQ917521:FKQ917522 FKQ917596:FKQ917599 FKQ983052:FKQ983054 FKQ983057:FKQ983058 FKQ983132:FKQ983135 FUM93:FUM95 FUM65548:FUM65550 FUM65553:FUM65554 FUM65628:FUM65631 FUM131084:FUM131086 FUM131089:FUM131090 FUM131164:FUM131167 FUM196620:FUM196622 FUM196625:FUM196626 FUM196700:FUM196703 FUM262156:FUM262158 FUM262161:FUM262162 FUM262236:FUM262239 FUM327692:FUM327694 FUM327697:FUM327698 FUM327772:FUM327775 FUM393228:FUM393230 FUM393233:FUM393234 FUM393308:FUM393311 FUM458764:FUM458766 FUM458769:FUM458770 FUM458844:FUM458847 FUM524300:FUM524302 FUM524305:FUM524306 FUM524380:FUM524383 FUM589836:FUM589838 FUM589841:FUM589842 FUM589916:FUM589919 FUM655372:FUM655374 FUM655377:FUM655378 FUM655452:FUM655455 FUM720908:FUM720910 FUM720913:FUM720914 FUM720988:FUM720991 FUM786444:FUM786446 FUM786449:FUM786450 FUM786524:FUM786527 FUM851980:FUM851982 FUM851985:FUM851986 FUM852060:FUM852063 FUM917516:FUM917518 FUM917521:FUM917522 FUM917596:FUM917599 FUM983052:FUM983054 FUM983057:FUM983058 FUM983132:FUM983135 GEI93:GEI95 GEI65548:GEI65550 GEI65553:GEI65554 GEI65628:GEI65631 GEI131084:GEI131086 GEI131089:GEI131090 GEI131164:GEI131167 GEI196620:GEI196622 GEI196625:GEI196626 GEI196700:GEI196703 GEI262156:GEI262158 GEI262161:GEI262162 GEI262236:GEI262239 GEI327692:GEI327694 GEI327697:GEI327698 GEI327772:GEI327775 GEI393228:GEI393230 GEI393233:GEI393234 GEI393308:GEI393311 GEI458764:GEI458766 GEI458769:GEI458770 GEI458844:GEI458847 GEI524300:GEI524302 GEI524305:GEI524306 GEI524380:GEI524383 GEI589836:GEI589838 GEI589841:GEI589842 GEI589916:GEI589919 GEI655372:GEI655374 GEI655377:GEI655378 GEI655452:GEI655455 GEI720908:GEI720910 GEI720913:GEI720914 GEI720988:GEI720991 GEI786444:GEI786446 GEI786449:GEI786450 GEI786524:GEI786527 GEI851980:GEI851982 GEI851985:GEI851986 GEI852060:GEI852063 GEI917516:GEI917518 GEI917521:GEI917522 GEI917596:GEI917599 GEI983052:GEI983054 GEI983057:GEI983058 GEI983132:GEI983135 GOE93:GOE95 GOE65548:GOE65550 GOE65553:GOE65554 GOE65628:GOE65631 GOE131084:GOE131086 GOE131089:GOE131090 GOE131164:GOE131167 GOE196620:GOE196622 GOE196625:GOE196626 GOE196700:GOE196703 GOE262156:GOE262158 GOE262161:GOE262162 GOE262236:GOE262239 GOE327692:GOE327694 GOE327697:GOE327698 GOE327772:GOE327775 GOE393228:GOE393230 GOE393233:GOE393234 GOE393308:GOE393311 GOE458764:GOE458766 GOE458769:GOE458770 GOE458844:GOE458847 GOE524300:GOE524302 GOE524305:GOE524306 GOE524380:GOE524383 GOE589836:GOE589838 GOE589841:GOE589842 GOE589916:GOE589919 GOE655372:GOE655374 GOE655377:GOE655378 GOE655452:GOE655455 GOE720908:GOE720910 GOE720913:GOE720914 GOE720988:GOE720991 GOE786444:GOE786446 GOE786449:GOE786450 GOE786524:GOE786527 GOE851980:GOE851982 GOE851985:GOE851986 GOE852060:GOE852063 GOE917516:GOE917518 GOE917521:GOE917522 GOE917596:GOE917599 GOE983052:GOE983054 GOE983057:GOE983058 GOE983132:GOE983135 GYA93:GYA95 GYA65548:GYA65550 GYA65553:GYA65554 GYA65628:GYA65631 GYA131084:GYA131086 GYA131089:GYA131090 GYA131164:GYA131167 GYA196620:GYA196622 GYA196625:GYA196626 GYA196700:GYA196703 GYA262156:GYA262158 GYA262161:GYA262162 GYA262236:GYA262239 GYA327692:GYA327694 GYA327697:GYA327698 GYA327772:GYA327775 GYA393228:GYA393230 GYA393233:GYA393234 GYA393308:GYA393311 GYA458764:GYA458766 GYA458769:GYA458770 GYA458844:GYA458847 GYA524300:GYA524302 GYA524305:GYA524306 GYA524380:GYA524383 GYA589836:GYA589838 GYA589841:GYA589842 GYA589916:GYA589919 GYA655372:GYA655374 GYA655377:GYA655378 GYA655452:GYA655455 GYA720908:GYA720910 GYA720913:GYA720914 GYA720988:GYA720991 GYA786444:GYA786446 GYA786449:GYA786450 GYA786524:GYA786527 GYA851980:GYA851982 GYA851985:GYA851986 GYA852060:GYA852063 GYA917516:GYA917518 GYA917521:GYA917522 GYA917596:GYA917599 GYA983052:GYA983054 GYA983057:GYA983058 GYA983132:GYA983135 HHW93:HHW95 HHW65548:HHW65550 HHW65553:HHW65554 HHW65628:HHW65631 HHW131084:HHW131086 HHW131089:HHW131090 HHW131164:HHW131167 HHW196620:HHW196622 HHW196625:HHW196626 HHW196700:HHW196703 HHW262156:HHW262158 HHW262161:HHW262162 HHW262236:HHW262239 HHW327692:HHW327694 HHW327697:HHW327698 HHW327772:HHW327775 HHW393228:HHW393230 HHW393233:HHW393234 HHW393308:HHW393311 HHW458764:HHW458766 HHW458769:HHW458770 HHW458844:HHW458847 HHW524300:HHW524302 HHW524305:HHW524306 HHW524380:HHW524383 HHW589836:HHW589838 HHW589841:HHW589842 HHW589916:HHW589919 HHW655372:HHW655374 HHW655377:HHW655378 HHW655452:HHW655455 HHW720908:HHW720910 HHW720913:HHW720914 HHW720988:HHW720991 HHW786444:HHW786446 HHW786449:HHW786450 HHW786524:HHW786527 HHW851980:HHW851982 HHW851985:HHW851986 HHW852060:HHW852063 HHW917516:HHW917518 HHW917521:HHW917522 HHW917596:HHW917599 HHW983052:HHW983054 HHW983057:HHW983058 HHW983132:HHW983135 HRS93:HRS95 HRS65548:HRS65550 HRS65553:HRS65554 HRS65628:HRS65631 HRS131084:HRS131086 HRS131089:HRS131090 HRS131164:HRS131167 HRS196620:HRS196622 HRS196625:HRS196626 HRS196700:HRS196703 HRS262156:HRS262158 HRS262161:HRS262162 HRS262236:HRS262239 HRS327692:HRS327694 HRS327697:HRS327698 HRS327772:HRS327775 HRS393228:HRS393230 HRS393233:HRS393234 HRS393308:HRS393311 HRS458764:HRS458766 HRS458769:HRS458770 HRS458844:HRS458847 HRS524300:HRS524302 HRS524305:HRS524306 HRS524380:HRS524383 HRS589836:HRS589838 HRS589841:HRS589842 HRS589916:HRS589919 HRS655372:HRS655374 HRS655377:HRS655378 HRS655452:HRS655455 HRS720908:HRS720910 HRS720913:HRS720914 HRS720988:HRS720991 HRS786444:HRS786446 HRS786449:HRS786450 HRS786524:HRS786527 HRS851980:HRS851982 HRS851985:HRS851986 HRS852060:HRS852063 HRS917516:HRS917518 HRS917521:HRS917522 HRS917596:HRS917599 HRS983052:HRS983054 HRS983057:HRS983058 HRS983132:HRS983135 IBO93:IBO95 IBO65548:IBO65550 IBO65553:IBO65554 IBO65628:IBO65631 IBO131084:IBO131086 IBO131089:IBO131090 IBO131164:IBO131167 IBO196620:IBO196622 IBO196625:IBO196626 IBO196700:IBO196703 IBO262156:IBO262158 IBO262161:IBO262162 IBO262236:IBO262239 IBO327692:IBO327694 IBO327697:IBO327698 IBO327772:IBO327775 IBO393228:IBO393230 IBO393233:IBO393234 IBO393308:IBO393311 IBO458764:IBO458766 IBO458769:IBO458770 IBO458844:IBO458847 IBO524300:IBO524302 IBO524305:IBO524306 IBO524380:IBO524383 IBO589836:IBO589838 IBO589841:IBO589842 IBO589916:IBO589919 IBO655372:IBO655374 IBO655377:IBO655378 IBO655452:IBO655455 IBO720908:IBO720910 IBO720913:IBO720914 IBO720988:IBO720991 IBO786444:IBO786446 IBO786449:IBO786450 IBO786524:IBO786527 IBO851980:IBO851982 IBO851985:IBO851986 IBO852060:IBO852063 IBO917516:IBO917518 IBO917521:IBO917522 IBO917596:IBO917599 IBO983052:IBO983054 IBO983057:IBO983058 IBO983132:IBO983135 ILK93:ILK95 ILK65548:ILK65550 ILK65553:ILK65554 ILK65628:ILK65631 ILK131084:ILK131086 ILK131089:ILK131090 ILK131164:ILK131167 ILK196620:ILK196622 ILK196625:ILK196626 ILK196700:ILK196703 ILK262156:ILK262158 ILK262161:ILK262162 ILK262236:ILK262239 ILK327692:ILK327694 ILK327697:ILK327698 ILK327772:ILK327775 ILK393228:ILK393230 ILK393233:ILK393234 ILK393308:ILK393311 ILK458764:ILK458766 ILK458769:ILK458770 ILK458844:ILK458847 ILK524300:ILK524302 ILK524305:ILK524306 ILK524380:ILK524383 ILK589836:ILK589838 ILK589841:ILK589842 ILK589916:ILK589919 ILK655372:ILK655374 ILK655377:ILK655378 ILK655452:ILK655455 ILK720908:ILK720910 ILK720913:ILK720914 ILK720988:ILK720991 ILK786444:ILK786446 ILK786449:ILK786450 ILK786524:ILK786527 ILK851980:ILK851982 ILK851985:ILK851986 ILK852060:ILK852063 ILK917516:ILK917518 ILK917521:ILK917522 ILK917596:ILK917599 ILK983052:ILK983054 ILK983057:ILK983058 ILK983132:ILK983135 IVG93:IVG95 IVG65548:IVG65550 IVG65553:IVG65554 IVG65628:IVG65631 IVG131084:IVG131086 IVG131089:IVG131090 IVG131164:IVG131167 IVG196620:IVG196622 IVG196625:IVG196626 IVG196700:IVG196703 IVG262156:IVG262158 IVG262161:IVG262162 IVG262236:IVG262239 IVG327692:IVG327694 IVG327697:IVG327698 IVG327772:IVG327775 IVG393228:IVG393230 IVG393233:IVG393234 IVG393308:IVG393311 IVG458764:IVG458766 IVG458769:IVG458770 IVG458844:IVG458847 IVG524300:IVG524302 IVG524305:IVG524306 IVG524380:IVG524383 IVG589836:IVG589838 IVG589841:IVG589842 IVG589916:IVG589919 IVG655372:IVG655374 IVG655377:IVG655378 IVG655452:IVG655455 IVG720908:IVG720910 IVG720913:IVG720914 IVG720988:IVG720991 IVG786444:IVG786446 IVG786449:IVG786450 IVG786524:IVG786527 IVG851980:IVG851982 IVG851985:IVG851986 IVG852060:IVG852063 IVG917516:IVG917518 IVG917521:IVG917522 IVG917596:IVG917599 IVG983052:IVG983054 IVG983057:IVG983058 IVG983132:IVG983135 JFC93:JFC95 JFC65548:JFC65550 JFC65553:JFC65554 JFC65628:JFC65631 JFC131084:JFC131086 JFC131089:JFC131090 JFC131164:JFC131167 JFC196620:JFC196622 JFC196625:JFC196626 JFC196700:JFC196703 JFC262156:JFC262158 JFC262161:JFC262162 JFC262236:JFC262239 JFC327692:JFC327694 JFC327697:JFC327698 JFC327772:JFC327775 JFC393228:JFC393230 JFC393233:JFC393234 JFC393308:JFC393311 JFC458764:JFC458766 JFC458769:JFC458770 JFC458844:JFC458847 JFC524300:JFC524302 JFC524305:JFC524306 JFC524380:JFC524383 JFC589836:JFC589838 JFC589841:JFC589842 JFC589916:JFC589919 JFC655372:JFC655374 JFC655377:JFC655378 JFC655452:JFC655455 JFC720908:JFC720910 JFC720913:JFC720914 JFC720988:JFC720991 JFC786444:JFC786446 JFC786449:JFC786450 JFC786524:JFC786527 JFC851980:JFC851982 JFC851985:JFC851986 JFC852060:JFC852063 JFC917516:JFC917518 JFC917521:JFC917522 JFC917596:JFC917599 JFC983052:JFC983054 JFC983057:JFC983058 JFC983132:JFC983135 JOY93:JOY95 JOY65548:JOY65550 JOY65553:JOY65554 JOY65628:JOY65631 JOY131084:JOY131086 JOY131089:JOY131090 JOY131164:JOY131167 JOY196620:JOY196622 JOY196625:JOY196626 JOY196700:JOY196703 JOY262156:JOY262158 JOY262161:JOY262162 JOY262236:JOY262239 JOY327692:JOY327694 JOY327697:JOY327698 JOY327772:JOY327775 JOY393228:JOY393230 JOY393233:JOY393234 JOY393308:JOY393311 JOY458764:JOY458766 JOY458769:JOY458770 JOY458844:JOY458847 JOY524300:JOY524302 JOY524305:JOY524306 JOY524380:JOY524383 JOY589836:JOY589838 JOY589841:JOY589842 JOY589916:JOY589919 JOY655372:JOY655374 JOY655377:JOY655378 JOY655452:JOY655455 JOY720908:JOY720910 JOY720913:JOY720914 JOY720988:JOY720991 JOY786444:JOY786446 JOY786449:JOY786450 JOY786524:JOY786527 JOY851980:JOY851982 JOY851985:JOY851986 JOY852060:JOY852063 JOY917516:JOY917518 JOY917521:JOY917522 JOY917596:JOY917599 JOY983052:JOY983054 JOY983057:JOY983058 JOY983132:JOY983135 JYU93:JYU95 JYU65548:JYU65550 JYU65553:JYU65554 JYU65628:JYU65631 JYU131084:JYU131086 JYU131089:JYU131090 JYU131164:JYU131167 JYU196620:JYU196622 JYU196625:JYU196626 JYU196700:JYU196703 JYU262156:JYU262158 JYU262161:JYU262162 JYU262236:JYU262239 JYU327692:JYU327694 JYU327697:JYU327698 JYU327772:JYU327775 JYU393228:JYU393230 JYU393233:JYU393234 JYU393308:JYU393311 JYU458764:JYU458766 JYU458769:JYU458770 JYU458844:JYU458847 JYU524300:JYU524302 JYU524305:JYU524306 JYU524380:JYU524383 JYU589836:JYU589838 JYU589841:JYU589842 JYU589916:JYU589919 JYU655372:JYU655374 JYU655377:JYU655378 JYU655452:JYU655455 JYU720908:JYU720910 JYU720913:JYU720914 JYU720988:JYU720991 JYU786444:JYU786446 JYU786449:JYU786450 JYU786524:JYU786527 JYU851980:JYU851982 JYU851985:JYU851986 JYU852060:JYU852063 JYU917516:JYU917518 JYU917521:JYU917522 JYU917596:JYU917599 JYU983052:JYU983054 JYU983057:JYU983058 JYU983132:JYU983135 KIQ93:KIQ95 KIQ65548:KIQ65550 KIQ65553:KIQ65554 KIQ65628:KIQ65631 KIQ131084:KIQ131086 KIQ131089:KIQ131090 KIQ131164:KIQ131167 KIQ196620:KIQ196622 KIQ196625:KIQ196626 KIQ196700:KIQ196703 KIQ262156:KIQ262158 KIQ262161:KIQ262162 KIQ262236:KIQ262239 KIQ327692:KIQ327694 KIQ327697:KIQ327698 KIQ327772:KIQ327775 KIQ393228:KIQ393230 KIQ393233:KIQ393234 KIQ393308:KIQ393311 KIQ458764:KIQ458766 KIQ458769:KIQ458770 KIQ458844:KIQ458847 KIQ524300:KIQ524302 KIQ524305:KIQ524306 KIQ524380:KIQ524383 KIQ589836:KIQ589838 KIQ589841:KIQ589842 KIQ589916:KIQ589919 KIQ655372:KIQ655374 KIQ655377:KIQ655378 KIQ655452:KIQ655455 KIQ720908:KIQ720910 KIQ720913:KIQ720914 KIQ720988:KIQ720991 KIQ786444:KIQ786446 KIQ786449:KIQ786450 KIQ786524:KIQ786527 KIQ851980:KIQ851982 KIQ851985:KIQ851986 KIQ852060:KIQ852063 KIQ917516:KIQ917518 KIQ917521:KIQ917522 KIQ917596:KIQ917599 KIQ983052:KIQ983054 KIQ983057:KIQ983058 KIQ983132:KIQ983135 KSM93:KSM95 KSM65548:KSM65550 KSM65553:KSM65554 KSM65628:KSM65631 KSM131084:KSM131086 KSM131089:KSM131090 KSM131164:KSM131167 KSM196620:KSM196622 KSM196625:KSM196626 KSM196700:KSM196703 KSM262156:KSM262158 KSM262161:KSM262162 KSM262236:KSM262239 KSM327692:KSM327694 KSM327697:KSM327698 KSM327772:KSM327775 KSM393228:KSM393230 KSM393233:KSM393234 KSM393308:KSM393311 KSM458764:KSM458766 KSM458769:KSM458770 KSM458844:KSM458847 KSM524300:KSM524302 KSM524305:KSM524306 KSM524380:KSM524383 KSM589836:KSM589838 KSM589841:KSM589842 KSM589916:KSM589919 KSM655372:KSM655374 KSM655377:KSM655378 KSM655452:KSM655455 KSM720908:KSM720910 KSM720913:KSM720914 KSM720988:KSM720991 KSM786444:KSM786446 KSM786449:KSM786450 KSM786524:KSM786527 KSM851980:KSM851982 KSM851985:KSM851986 KSM852060:KSM852063 KSM917516:KSM917518 KSM917521:KSM917522 KSM917596:KSM917599 KSM983052:KSM983054 KSM983057:KSM983058 KSM983132:KSM983135 LCI93:LCI95 LCI65548:LCI65550 LCI65553:LCI65554 LCI65628:LCI65631 LCI131084:LCI131086 LCI131089:LCI131090 LCI131164:LCI131167 LCI196620:LCI196622 LCI196625:LCI196626 LCI196700:LCI196703 LCI262156:LCI262158 LCI262161:LCI262162 LCI262236:LCI262239 LCI327692:LCI327694 LCI327697:LCI327698 LCI327772:LCI327775 LCI393228:LCI393230 LCI393233:LCI393234 LCI393308:LCI393311 LCI458764:LCI458766 LCI458769:LCI458770 LCI458844:LCI458847 LCI524300:LCI524302 LCI524305:LCI524306 LCI524380:LCI524383 LCI589836:LCI589838 LCI589841:LCI589842 LCI589916:LCI589919 LCI655372:LCI655374 LCI655377:LCI655378 LCI655452:LCI655455 LCI720908:LCI720910 LCI720913:LCI720914 LCI720988:LCI720991 LCI786444:LCI786446 LCI786449:LCI786450 LCI786524:LCI786527 LCI851980:LCI851982 LCI851985:LCI851986 LCI852060:LCI852063 LCI917516:LCI917518 LCI917521:LCI917522 LCI917596:LCI917599 LCI983052:LCI983054 LCI983057:LCI983058 LCI983132:LCI983135 LME93:LME95 LME65548:LME65550 LME65553:LME65554 LME65628:LME65631 LME131084:LME131086 LME131089:LME131090 LME131164:LME131167 LME196620:LME196622 LME196625:LME196626 LME196700:LME196703 LME262156:LME262158 LME262161:LME262162 LME262236:LME262239 LME327692:LME327694 LME327697:LME327698 LME327772:LME327775 LME393228:LME393230 LME393233:LME393234 LME393308:LME393311 LME458764:LME458766 LME458769:LME458770 LME458844:LME458847 LME524300:LME524302 LME524305:LME524306 LME524380:LME524383 LME589836:LME589838 LME589841:LME589842 LME589916:LME589919 LME655372:LME655374 LME655377:LME655378 LME655452:LME655455 LME720908:LME720910 LME720913:LME720914 LME720988:LME720991 LME786444:LME786446 LME786449:LME786450 LME786524:LME786527 LME851980:LME851982 LME851985:LME851986 LME852060:LME852063 LME917516:LME917518 LME917521:LME917522 LME917596:LME917599 LME983052:LME983054 LME983057:LME983058 LME983132:LME983135 LWA93:LWA95 LWA65548:LWA65550 LWA65553:LWA65554 LWA65628:LWA65631 LWA131084:LWA131086 LWA131089:LWA131090 LWA131164:LWA131167 LWA196620:LWA196622 LWA196625:LWA196626 LWA196700:LWA196703 LWA262156:LWA262158 LWA262161:LWA262162 LWA262236:LWA262239 LWA327692:LWA327694 LWA327697:LWA327698 LWA327772:LWA327775 LWA393228:LWA393230 LWA393233:LWA393234 LWA393308:LWA393311 LWA458764:LWA458766 LWA458769:LWA458770 LWA458844:LWA458847 LWA524300:LWA524302 LWA524305:LWA524306 LWA524380:LWA524383 LWA589836:LWA589838 LWA589841:LWA589842 LWA589916:LWA589919 LWA655372:LWA655374 LWA655377:LWA655378 LWA655452:LWA655455 LWA720908:LWA720910 LWA720913:LWA720914 LWA720988:LWA720991 LWA786444:LWA786446 LWA786449:LWA786450 LWA786524:LWA786527 LWA851980:LWA851982 LWA851985:LWA851986 LWA852060:LWA852063 LWA917516:LWA917518 LWA917521:LWA917522 LWA917596:LWA917599 LWA983052:LWA983054 LWA983057:LWA983058 LWA983132:LWA983135 MFW93:MFW95 MFW65548:MFW65550 MFW65553:MFW65554 MFW65628:MFW65631 MFW131084:MFW131086 MFW131089:MFW131090 MFW131164:MFW131167 MFW196620:MFW196622 MFW196625:MFW196626 MFW196700:MFW196703 MFW262156:MFW262158 MFW262161:MFW262162 MFW262236:MFW262239 MFW327692:MFW327694 MFW327697:MFW327698 MFW327772:MFW327775 MFW393228:MFW393230 MFW393233:MFW393234 MFW393308:MFW393311 MFW458764:MFW458766 MFW458769:MFW458770 MFW458844:MFW458847 MFW524300:MFW524302 MFW524305:MFW524306 MFW524380:MFW524383 MFW589836:MFW589838 MFW589841:MFW589842 MFW589916:MFW589919 MFW655372:MFW655374 MFW655377:MFW655378 MFW655452:MFW655455 MFW720908:MFW720910 MFW720913:MFW720914 MFW720988:MFW720991 MFW786444:MFW786446 MFW786449:MFW786450 MFW786524:MFW786527 MFW851980:MFW851982 MFW851985:MFW851986 MFW852060:MFW852063 MFW917516:MFW917518 MFW917521:MFW917522 MFW917596:MFW917599 MFW983052:MFW983054 MFW983057:MFW983058 MFW983132:MFW983135 MPS93:MPS95 MPS65548:MPS65550 MPS65553:MPS65554 MPS65628:MPS65631 MPS131084:MPS131086 MPS131089:MPS131090 MPS131164:MPS131167 MPS196620:MPS196622 MPS196625:MPS196626 MPS196700:MPS196703 MPS262156:MPS262158 MPS262161:MPS262162 MPS262236:MPS262239 MPS327692:MPS327694 MPS327697:MPS327698 MPS327772:MPS327775 MPS393228:MPS393230 MPS393233:MPS393234 MPS393308:MPS393311 MPS458764:MPS458766 MPS458769:MPS458770 MPS458844:MPS458847 MPS524300:MPS524302 MPS524305:MPS524306 MPS524380:MPS524383 MPS589836:MPS589838 MPS589841:MPS589842 MPS589916:MPS589919 MPS655372:MPS655374 MPS655377:MPS655378 MPS655452:MPS655455 MPS720908:MPS720910 MPS720913:MPS720914 MPS720988:MPS720991 MPS786444:MPS786446 MPS786449:MPS786450 MPS786524:MPS786527 MPS851980:MPS851982 MPS851985:MPS851986 MPS852060:MPS852063 MPS917516:MPS917518 MPS917521:MPS917522 MPS917596:MPS917599 MPS983052:MPS983054 MPS983057:MPS983058 MPS983132:MPS983135 MZO93:MZO95 MZO65548:MZO65550 MZO65553:MZO65554 MZO65628:MZO65631 MZO131084:MZO131086 MZO131089:MZO131090 MZO131164:MZO131167 MZO196620:MZO196622 MZO196625:MZO196626 MZO196700:MZO196703 MZO262156:MZO262158 MZO262161:MZO262162 MZO262236:MZO262239 MZO327692:MZO327694 MZO327697:MZO327698 MZO327772:MZO327775 MZO393228:MZO393230 MZO393233:MZO393234 MZO393308:MZO393311 MZO458764:MZO458766 MZO458769:MZO458770 MZO458844:MZO458847 MZO524300:MZO524302 MZO524305:MZO524306 MZO524380:MZO524383 MZO589836:MZO589838 MZO589841:MZO589842 MZO589916:MZO589919 MZO655372:MZO655374 MZO655377:MZO655378 MZO655452:MZO655455 MZO720908:MZO720910 MZO720913:MZO720914 MZO720988:MZO720991 MZO786444:MZO786446 MZO786449:MZO786450 MZO786524:MZO786527 MZO851980:MZO851982 MZO851985:MZO851986 MZO852060:MZO852063 MZO917516:MZO917518 MZO917521:MZO917522 MZO917596:MZO917599 MZO983052:MZO983054 MZO983057:MZO983058 MZO983132:MZO983135 NJK93:NJK95 NJK65548:NJK65550 NJK65553:NJK65554 NJK65628:NJK65631 NJK131084:NJK131086 NJK131089:NJK131090 NJK131164:NJK131167 NJK196620:NJK196622 NJK196625:NJK196626 NJK196700:NJK196703 NJK262156:NJK262158 NJK262161:NJK262162 NJK262236:NJK262239 NJK327692:NJK327694 NJK327697:NJK327698 NJK327772:NJK327775 NJK393228:NJK393230 NJK393233:NJK393234 NJK393308:NJK393311 NJK458764:NJK458766 NJK458769:NJK458770 NJK458844:NJK458847 NJK524300:NJK524302 NJK524305:NJK524306 NJK524380:NJK524383 NJK589836:NJK589838 NJK589841:NJK589842 NJK589916:NJK589919 NJK655372:NJK655374 NJK655377:NJK655378 NJK655452:NJK655455 NJK720908:NJK720910 NJK720913:NJK720914 NJK720988:NJK720991 NJK786444:NJK786446 NJK786449:NJK786450 NJK786524:NJK786527 NJK851980:NJK851982 NJK851985:NJK851986 NJK852060:NJK852063 NJK917516:NJK917518 NJK917521:NJK917522 NJK917596:NJK917599 NJK983052:NJK983054 NJK983057:NJK983058 NJK983132:NJK983135 NTG93:NTG95 NTG65548:NTG65550 NTG65553:NTG65554 NTG65628:NTG65631 NTG131084:NTG131086 NTG131089:NTG131090 NTG131164:NTG131167 NTG196620:NTG196622 NTG196625:NTG196626 NTG196700:NTG196703 NTG262156:NTG262158 NTG262161:NTG262162 NTG262236:NTG262239 NTG327692:NTG327694 NTG327697:NTG327698 NTG327772:NTG327775 NTG393228:NTG393230 NTG393233:NTG393234 NTG393308:NTG393311 NTG458764:NTG458766 NTG458769:NTG458770 NTG458844:NTG458847 NTG524300:NTG524302 NTG524305:NTG524306 NTG524380:NTG524383 NTG589836:NTG589838 NTG589841:NTG589842 NTG589916:NTG589919 NTG655372:NTG655374 NTG655377:NTG655378 NTG655452:NTG655455 NTG720908:NTG720910 NTG720913:NTG720914 NTG720988:NTG720991 NTG786444:NTG786446 NTG786449:NTG786450 NTG786524:NTG786527 NTG851980:NTG851982 NTG851985:NTG851986 NTG852060:NTG852063 NTG917516:NTG917518 NTG917521:NTG917522 NTG917596:NTG917599 NTG983052:NTG983054 NTG983057:NTG983058 NTG983132:NTG983135 ODC93:ODC95 ODC65548:ODC65550 ODC65553:ODC65554 ODC65628:ODC65631 ODC131084:ODC131086 ODC131089:ODC131090 ODC131164:ODC131167 ODC196620:ODC196622 ODC196625:ODC196626 ODC196700:ODC196703 ODC262156:ODC262158 ODC262161:ODC262162 ODC262236:ODC262239 ODC327692:ODC327694 ODC327697:ODC327698 ODC327772:ODC327775 ODC393228:ODC393230 ODC393233:ODC393234 ODC393308:ODC393311 ODC458764:ODC458766 ODC458769:ODC458770 ODC458844:ODC458847 ODC524300:ODC524302 ODC524305:ODC524306 ODC524380:ODC524383 ODC589836:ODC589838 ODC589841:ODC589842 ODC589916:ODC589919 ODC655372:ODC655374 ODC655377:ODC655378 ODC655452:ODC655455 ODC720908:ODC720910 ODC720913:ODC720914 ODC720988:ODC720991 ODC786444:ODC786446 ODC786449:ODC786450 ODC786524:ODC786527 ODC851980:ODC851982 ODC851985:ODC851986 ODC852060:ODC852063 ODC917516:ODC917518 ODC917521:ODC917522 ODC917596:ODC917599 ODC983052:ODC983054 ODC983057:ODC983058 ODC983132:ODC983135 OMY93:OMY95 OMY65548:OMY65550 OMY65553:OMY65554 OMY65628:OMY65631 OMY131084:OMY131086 OMY131089:OMY131090 OMY131164:OMY131167 OMY196620:OMY196622 OMY196625:OMY196626 OMY196700:OMY196703 OMY262156:OMY262158 OMY262161:OMY262162 OMY262236:OMY262239 OMY327692:OMY327694 OMY327697:OMY327698 OMY327772:OMY327775 OMY393228:OMY393230 OMY393233:OMY393234 OMY393308:OMY393311 OMY458764:OMY458766 OMY458769:OMY458770 OMY458844:OMY458847 OMY524300:OMY524302 OMY524305:OMY524306 OMY524380:OMY524383 OMY589836:OMY589838 OMY589841:OMY589842 OMY589916:OMY589919 OMY655372:OMY655374 OMY655377:OMY655378 OMY655452:OMY655455 OMY720908:OMY720910 OMY720913:OMY720914 OMY720988:OMY720991 OMY786444:OMY786446 OMY786449:OMY786450 OMY786524:OMY786527 OMY851980:OMY851982 OMY851985:OMY851986 OMY852060:OMY852063 OMY917516:OMY917518 OMY917521:OMY917522 OMY917596:OMY917599 OMY983052:OMY983054 OMY983057:OMY983058 OMY983132:OMY983135 OWU93:OWU95 OWU65548:OWU65550 OWU65553:OWU65554 OWU65628:OWU65631 OWU131084:OWU131086 OWU131089:OWU131090 OWU131164:OWU131167 OWU196620:OWU196622 OWU196625:OWU196626 OWU196700:OWU196703 OWU262156:OWU262158 OWU262161:OWU262162 OWU262236:OWU262239 OWU327692:OWU327694 OWU327697:OWU327698 OWU327772:OWU327775 OWU393228:OWU393230 OWU393233:OWU393234 OWU393308:OWU393311 OWU458764:OWU458766 OWU458769:OWU458770 OWU458844:OWU458847 OWU524300:OWU524302 OWU524305:OWU524306 OWU524380:OWU524383 OWU589836:OWU589838 OWU589841:OWU589842 OWU589916:OWU589919 OWU655372:OWU655374 OWU655377:OWU655378 OWU655452:OWU655455 OWU720908:OWU720910 OWU720913:OWU720914 OWU720988:OWU720991 OWU786444:OWU786446 OWU786449:OWU786450 OWU786524:OWU786527 OWU851980:OWU851982 OWU851985:OWU851986 OWU852060:OWU852063 OWU917516:OWU917518 OWU917521:OWU917522 OWU917596:OWU917599 OWU983052:OWU983054 OWU983057:OWU983058 OWU983132:OWU983135 PGQ93:PGQ95 PGQ65548:PGQ65550 PGQ65553:PGQ65554 PGQ65628:PGQ65631 PGQ131084:PGQ131086 PGQ131089:PGQ131090 PGQ131164:PGQ131167 PGQ196620:PGQ196622 PGQ196625:PGQ196626 PGQ196700:PGQ196703 PGQ262156:PGQ262158 PGQ262161:PGQ262162 PGQ262236:PGQ262239 PGQ327692:PGQ327694 PGQ327697:PGQ327698 PGQ327772:PGQ327775 PGQ393228:PGQ393230 PGQ393233:PGQ393234 PGQ393308:PGQ393311 PGQ458764:PGQ458766 PGQ458769:PGQ458770 PGQ458844:PGQ458847 PGQ524300:PGQ524302 PGQ524305:PGQ524306 PGQ524380:PGQ524383 PGQ589836:PGQ589838 PGQ589841:PGQ589842 PGQ589916:PGQ589919 PGQ655372:PGQ655374 PGQ655377:PGQ655378 PGQ655452:PGQ655455 PGQ720908:PGQ720910 PGQ720913:PGQ720914 PGQ720988:PGQ720991 PGQ786444:PGQ786446 PGQ786449:PGQ786450 PGQ786524:PGQ786527 PGQ851980:PGQ851982 PGQ851985:PGQ851986 PGQ852060:PGQ852063 PGQ917516:PGQ917518 PGQ917521:PGQ917522 PGQ917596:PGQ917599 PGQ983052:PGQ983054 PGQ983057:PGQ983058 PGQ983132:PGQ983135 PQM93:PQM95 PQM65548:PQM65550 PQM65553:PQM65554 PQM65628:PQM65631 PQM131084:PQM131086 PQM131089:PQM131090 PQM131164:PQM131167 PQM196620:PQM196622 PQM196625:PQM196626 PQM196700:PQM196703 PQM262156:PQM262158 PQM262161:PQM262162 PQM262236:PQM262239 PQM327692:PQM327694 PQM327697:PQM327698 PQM327772:PQM327775 PQM393228:PQM393230 PQM393233:PQM393234 PQM393308:PQM393311 PQM458764:PQM458766 PQM458769:PQM458770 PQM458844:PQM458847 PQM524300:PQM524302 PQM524305:PQM524306 PQM524380:PQM524383 PQM589836:PQM589838 PQM589841:PQM589842 PQM589916:PQM589919 PQM655372:PQM655374 PQM655377:PQM655378 PQM655452:PQM655455 PQM720908:PQM720910 PQM720913:PQM720914 PQM720988:PQM720991 PQM786444:PQM786446 PQM786449:PQM786450 PQM786524:PQM786527 PQM851980:PQM851982 PQM851985:PQM851986 PQM852060:PQM852063 PQM917516:PQM917518 PQM917521:PQM917522 PQM917596:PQM917599 PQM983052:PQM983054 PQM983057:PQM983058 PQM983132:PQM983135 QAI93:QAI95 QAI65548:QAI65550 QAI65553:QAI65554 QAI65628:QAI65631 QAI131084:QAI131086 QAI131089:QAI131090 QAI131164:QAI131167 QAI196620:QAI196622 QAI196625:QAI196626 QAI196700:QAI196703 QAI262156:QAI262158 QAI262161:QAI262162 QAI262236:QAI262239 QAI327692:QAI327694 QAI327697:QAI327698 QAI327772:QAI327775 QAI393228:QAI393230 QAI393233:QAI393234 QAI393308:QAI393311 QAI458764:QAI458766 QAI458769:QAI458770 QAI458844:QAI458847 QAI524300:QAI524302 QAI524305:QAI524306 QAI524380:QAI524383 QAI589836:QAI589838 QAI589841:QAI589842 QAI589916:QAI589919 QAI655372:QAI655374 QAI655377:QAI655378 QAI655452:QAI655455 QAI720908:QAI720910 QAI720913:QAI720914 QAI720988:QAI720991 QAI786444:QAI786446 QAI786449:QAI786450 QAI786524:QAI786527 QAI851980:QAI851982 QAI851985:QAI851986 QAI852060:QAI852063 QAI917516:QAI917518 QAI917521:QAI917522 QAI917596:QAI917599 QAI983052:QAI983054 QAI983057:QAI983058 QAI983132:QAI983135 QKE93:QKE95 QKE65548:QKE65550 QKE65553:QKE65554 QKE65628:QKE65631 QKE131084:QKE131086 QKE131089:QKE131090 QKE131164:QKE131167 QKE196620:QKE196622 QKE196625:QKE196626 QKE196700:QKE196703 QKE262156:QKE262158 QKE262161:QKE262162 QKE262236:QKE262239 QKE327692:QKE327694 QKE327697:QKE327698 QKE327772:QKE327775 QKE393228:QKE393230 QKE393233:QKE393234 QKE393308:QKE393311 QKE458764:QKE458766 QKE458769:QKE458770 QKE458844:QKE458847 QKE524300:QKE524302 QKE524305:QKE524306 QKE524380:QKE524383 QKE589836:QKE589838 QKE589841:QKE589842 QKE589916:QKE589919 QKE655372:QKE655374 QKE655377:QKE655378 QKE655452:QKE655455 QKE720908:QKE720910 QKE720913:QKE720914 QKE720988:QKE720991 QKE786444:QKE786446 QKE786449:QKE786450 QKE786524:QKE786527 QKE851980:QKE851982 QKE851985:QKE851986 QKE852060:QKE852063 QKE917516:QKE917518 QKE917521:QKE917522 QKE917596:QKE917599 QKE983052:QKE983054 QKE983057:QKE983058 QKE983132:QKE983135 QUA93:QUA95 QUA65548:QUA65550 QUA65553:QUA65554 QUA65628:QUA65631 QUA131084:QUA131086 QUA131089:QUA131090 QUA131164:QUA131167 QUA196620:QUA196622 QUA196625:QUA196626 QUA196700:QUA196703 QUA262156:QUA262158 QUA262161:QUA262162 QUA262236:QUA262239 QUA327692:QUA327694 QUA327697:QUA327698 QUA327772:QUA327775 QUA393228:QUA393230 QUA393233:QUA393234 QUA393308:QUA393311 QUA458764:QUA458766 QUA458769:QUA458770 QUA458844:QUA458847 QUA524300:QUA524302 QUA524305:QUA524306 QUA524380:QUA524383 QUA589836:QUA589838 QUA589841:QUA589842 QUA589916:QUA589919 QUA655372:QUA655374 QUA655377:QUA655378 QUA655452:QUA655455 QUA720908:QUA720910 QUA720913:QUA720914 QUA720988:QUA720991 QUA786444:QUA786446 QUA786449:QUA786450 QUA786524:QUA786527 QUA851980:QUA851982 QUA851985:QUA851986 QUA852060:QUA852063 QUA917516:QUA917518 QUA917521:QUA917522 QUA917596:QUA917599 QUA983052:QUA983054 QUA983057:QUA983058 QUA983132:QUA983135 RDW93:RDW95 RDW65548:RDW65550 RDW65553:RDW65554 RDW65628:RDW65631 RDW131084:RDW131086 RDW131089:RDW131090 RDW131164:RDW131167 RDW196620:RDW196622 RDW196625:RDW196626 RDW196700:RDW196703 RDW262156:RDW262158 RDW262161:RDW262162 RDW262236:RDW262239 RDW327692:RDW327694 RDW327697:RDW327698 RDW327772:RDW327775 RDW393228:RDW393230 RDW393233:RDW393234 RDW393308:RDW393311 RDW458764:RDW458766 RDW458769:RDW458770 RDW458844:RDW458847 RDW524300:RDW524302 RDW524305:RDW524306 RDW524380:RDW524383 RDW589836:RDW589838 RDW589841:RDW589842 RDW589916:RDW589919 RDW655372:RDW655374 RDW655377:RDW655378 RDW655452:RDW655455 RDW720908:RDW720910 RDW720913:RDW720914 RDW720988:RDW720991 RDW786444:RDW786446 RDW786449:RDW786450 RDW786524:RDW786527 RDW851980:RDW851982 RDW851985:RDW851986 RDW852060:RDW852063 RDW917516:RDW917518 RDW917521:RDW917522 RDW917596:RDW917599 RDW983052:RDW983054 RDW983057:RDW983058 RDW983132:RDW983135 RNS93:RNS95 RNS65548:RNS65550 RNS65553:RNS65554 RNS65628:RNS65631 RNS131084:RNS131086 RNS131089:RNS131090 RNS131164:RNS131167 RNS196620:RNS196622 RNS196625:RNS196626 RNS196700:RNS196703 RNS262156:RNS262158 RNS262161:RNS262162 RNS262236:RNS262239 RNS327692:RNS327694 RNS327697:RNS327698 RNS327772:RNS327775 RNS393228:RNS393230 RNS393233:RNS393234 RNS393308:RNS393311 RNS458764:RNS458766 RNS458769:RNS458770 RNS458844:RNS458847 RNS524300:RNS524302 RNS524305:RNS524306 RNS524380:RNS524383 RNS589836:RNS589838 RNS589841:RNS589842 RNS589916:RNS589919 RNS655372:RNS655374 RNS655377:RNS655378 RNS655452:RNS655455 RNS720908:RNS720910 RNS720913:RNS720914 RNS720988:RNS720991 RNS786444:RNS786446 RNS786449:RNS786450 RNS786524:RNS786527 RNS851980:RNS851982 RNS851985:RNS851986 RNS852060:RNS852063 RNS917516:RNS917518 RNS917521:RNS917522 RNS917596:RNS917599 RNS983052:RNS983054 RNS983057:RNS983058 RNS983132:RNS983135 RXO93:RXO95 RXO65548:RXO65550 RXO65553:RXO65554 RXO65628:RXO65631 RXO131084:RXO131086 RXO131089:RXO131090 RXO131164:RXO131167 RXO196620:RXO196622 RXO196625:RXO196626 RXO196700:RXO196703 RXO262156:RXO262158 RXO262161:RXO262162 RXO262236:RXO262239 RXO327692:RXO327694 RXO327697:RXO327698 RXO327772:RXO327775 RXO393228:RXO393230 RXO393233:RXO393234 RXO393308:RXO393311 RXO458764:RXO458766 RXO458769:RXO458770 RXO458844:RXO458847 RXO524300:RXO524302 RXO524305:RXO524306 RXO524380:RXO524383 RXO589836:RXO589838 RXO589841:RXO589842 RXO589916:RXO589919 RXO655372:RXO655374 RXO655377:RXO655378 RXO655452:RXO655455 RXO720908:RXO720910 RXO720913:RXO720914 RXO720988:RXO720991 RXO786444:RXO786446 RXO786449:RXO786450 RXO786524:RXO786527 RXO851980:RXO851982 RXO851985:RXO851986 RXO852060:RXO852063 RXO917516:RXO917518 RXO917521:RXO917522 RXO917596:RXO917599 RXO983052:RXO983054 RXO983057:RXO983058 RXO983132:RXO983135 SHK93:SHK95 SHK65548:SHK65550 SHK65553:SHK65554 SHK65628:SHK65631 SHK131084:SHK131086 SHK131089:SHK131090 SHK131164:SHK131167 SHK196620:SHK196622 SHK196625:SHK196626 SHK196700:SHK196703 SHK262156:SHK262158 SHK262161:SHK262162 SHK262236:SHK262239 SHK327692:SHK327694 SHK327697:SHK327698 SHK327772:SHK327775 SHK393228:SHK393230 SHK393233:SHK393234 SHK393308:SHK393311 SHK458764:SHK458766 SHK458769:SHK458770 SHK458844:SHK458847 SHK524300:SHK524302 SHK524305:SHK524306 SHK524380:SHK524383 SHK589836:SHK589838 SHK589841:SHK589842 SHK589916:SHK589919 SHK655372:SHK655374 SHK655377:SHK655378 SHK655452:SHK655455 SHK720908:SHK720910 SHK720913:SHK720914 SHK720988:SHK720991 SHK786444:SHK786446 SHK786449:SHK786450 SHK786524:SHK786527 SHK851980:SHK851982 SHK851985:SHK851986 SHK852060:SHK852063 SHK917516:SHK917518 SHK917521:SHK917522 SHK917596:SHK917599 SHK983052:SHK983054 SHK983057:SHK983058 SHK983132:SHK983135 SRG93:SRG95 SRG65548:SRG65550 SRG65553:SRG65554 SRG65628:SRG65631 SRG131084:SRG131086 SRG131089:SRG131090 SRG131164:SRG131167 SRG196620:SRG196622 SRG196625:SRG196626 SRG196700:SRG196703 SRG262156:SRG262158 SRG262161:SRG262162 SRG262236:SRG262239 SRG327692:SRG327694 SRG327697:SRG327698 SRG327772:SRG327775 SRG393228:SRG393230 SRG393233:SRG393234 SRG393308:SRG393311 SRG458764:SRG458766 SRG458769:SRG458770 SRG458844:SRG458847 SRG524300:SRG524302 SRG524305:SRG524306 SRG524380:SRG524383 SRG589836:SRG589838 SRG589841:SRG589842 SRG589916:SRG589919 SRG655372:SRG655374 SRG655377:SRG655378 SRG655452:SRG655455 SRG720908:SRG720910 SRG720913:SRG720914 SRG720988:SRG720991 SRG786444:SRG786446 SRG786449:SRG786450 SRG786524:SRG786527 SRG851980:SRG851982 SRG851985:SRG851986 SRG852060:SRG852063 SRG917516:SRG917518 SRG917521:SRG917522 SRG917596:SRG917599 SRG983052:SRG983054 SRG983057:SRG983058 SRG983132:SRG983135 TBC93:TBC95 TBC65548:TBC65550 TBC65553:TBC65554 TBC65628:TBC65631 TBC131084:TBC131086 TBC131089:TBC131090 TBC131164:TBC131167 TBC196620:TBC196622 TBC196625:TBC196626 TBC196700:TBC196703 TBC262156:TBC262158 TBC262161:TBC262162 TBC262236:TBC262239 TBC327692:TBC327694 TBC327697:TBC327698 TBC327772:TBC327775 TBC393228:TBC393230 TBC393233:TBC393234 TBC393308:TBC393311 TBC458764:TBC458766 TBC458769:TBC458770 TBC458844:TBC458847 TBC524300:TBC524302 TBC524305:TBC524306 TBC524380:TBC524383 TBC589836:TBC589838 TBC589841:TBC589842 TBC589916:TBC589919 TBC655372:TBC655374 TBC655377:TBC655378 TBC655452:TBC655455 TBC720908:TBC720910 TBC720913:TBC720914 TBC720988:TBC720991 TBC786444:TBC786446 TBC786449:TBC786450 TBC786524:TBC786527 TBC851980:TBC851982 TBC851985:TBC851986 TBC852060:TBC852063 TBC917516:TBC917518 TBC917521:TBC917522 TBC917596:TBC917599 TBC983052:TBC983054 TBC983057:TBC983058 TBC983132:TBC983135 TKY93:TKY95 TKY65548:TKY65550 TKY65553:TKY65554 TKY65628:TKY65631 TKY131084:TKY131086 TKY131089:TKY131090 TKY131164:TKY131167 TKY196620:TKY196622 TKY196625:TKY196626 TKY196700:TKY196703 TKY262156:TKY262158 TKY262161:TKY262162 TKY262236:TKY262239 TKY327692:TKY327694 TKY327697:TKY327698 TKY327772:TKY327775 TKY393228:TKY393230 TKY393233:TKY393234 TKY393308:TKY393311 TKY458764:TKY458766 TKY458769:TKY458770 TKY458844:TKY458847 TKY524300:TKY524302 TKY524305:TKY524306 TKY524380:TKY524383 TKY589836:TKY589838 TKY589841:TKY589842 TKY589916:TKY589919 TKY655372:TKY655374 TKY655377:TKY655378 TKY655452:TKY655455 TKY720908:TKY720910 TKY720913:TKY720914 TKY720988:TKY720991 TKY786444:TKY786446 TKY786449:TKY786450 TKY786524:TKY786527 TKY851980:TKY851982 TKY851985:TKY851986 TKY852060:TKY852063 TKY917516:TKY917518 TKY917521:TKY917522 TKY917596:TKY917599 TKY983052:TKY983054 TKY983057:TKY983058 TKY983132:TKY983135 TUU93:TUU95 TUU65548:TUU65550 TUU65553:TUU65554 TUU65628:TUU65631 TUU131084:TUU131086 TUU131089:TUU131090 TUU131164:TUU131167 TUU196620:TUU196622 TUU196625:TUU196626 TUU196700:TUU196703 TUU262156:TUU262158 TUU262161:TUU262162 TUU262236:TUU262239 TUU327692:TUU327694 TUU327697:TUU327698 TUU327772:TUU327775 TUU393228:TUU393230 TUU393233:TUU393234 TUU393308:TUU393311 TUU458764:TUU458766 TUU458769:TUU458770 TUU458844:TUU458847 TUU524300:TUU524302 TUU524305:TUU524306 TUU524380:TUU524383 TUU589836:TUU589838 TUU589841:TUU589842 TUU589916:TUU589919 TUU655372:TUU655374 TUU655377:TUU655378 TUU655452:TUU655455 TUU720908:TUU720910 TUU720913:TUU720914 TUU720988:TUU720991 TUU786444:TUU786446 TUU786449:TUU786450 TUU786524:TUU786527 TUU851980:TUU851982 TUU851985:TUU851986 TUU852060:TUU852063 TUU917516:TUU917518 TUU917521:TUU917522 TUU917596:TUU917599 TUU983052:TUU983054 TUU983057:TUU983058 TUU983132:TUU983135 UEQ93:UEQ95 UEQ65548:UEQ65550 UEQ65553:UEQ65554 UEQ65628:UEQ65631 UEQ131084:UEQ131086 UEQ131089:UEQ131090 UEQ131164:UEQ131167 UEQ196620:UEQ196622 UEQ196625:UEQ196626 UEQ196700:UEQ196703 UEQ262156:UEQ262158 UEQ262161:UEQ262162 UEQ262236:UEQ262239 UEQ327692:UEQ327694 UEQ327697:UEQ327698 UEQ327772:UEQ327775 UEQ393228:UEQ393230 UEQ393233:UEQ393234 UEQ393308:UEQ393311 UEQ458764:UEQ458766 UEQ458769:UEQ458770 UEQ458844:UEQ458847 UEQ524300:UEQ524302 UEQ524305:UEQ524306 UEQ524380:UEQ524383 UEQ589836:UEQ589838 UEQ589841:UEQ589842 UEQ589916:UEQ589919 UEQ655372:UEQ655374 UEQ655377:UEQ655378 UEQ655452:UEQ655455 UEQ720908:UEQ720910 UEQ720913:UEQ720914 UEQ720988:UEQ720991 UEQ786444:UEQ786446 UEQ786449:UEQ786450 UEQ786524:UEQ786527 UEQ851980:UEQ851982 UEQ851985:UEQ851986 UEQ852060:UEQ852063 UEQ917516:UEQ917518 UEQ917521:UEQ917522 UEQ917596:UEQ917599 UEQ983052:UEQ983054 UEQ983057:UEQ983058 UEQ983132:UEQ983135 UOM93:UOM95 UOM65548:UOM65550 UOM65553:UOM65554 UOM65628:UOM65631 UOM131084:UOM131086 UOM131089:UOM131090 UOM131164:UOM131167 UOM196620:UOM196622 UOM196625:UOM196626 UOM196700:UOM196703 UOM262156:UOM262158 UOM262161:UOM262162 UOM262236:UOM262239 UOM327692:UOM327694 UOM327697:UOM327698 UOM327772:UOM327775 UOM393228:UOM393230 UOM393233:UOM393234 UOM393308:UOM393311 UOM458764:UOM458766 UOM458769:UOM458770 UOM458844:UOM458847 UOM524300:UOM524302 UOM524305:UOM524306 UOM524380:UOM524383 UOM589836:UOM589838 UOM589841:UOM589842 UOM589916:UOM589919 UOM655372:UOM655374 UOM655377:UOM655378 UOM655452:UOM655455 UOM720908:UOM720910 UOM720913:UOM720914 UOM720988:UOM720991 UOM786444:UOM786446 UOM786449:UOM786450 UOM786524:UOM786527 UOM851980:UOM851982 UOM851985:UOM851986 UOM852060:UOM852063 UOM917516:UOM917518 UOM917521:UOM917522 UOM917596:UOM917599 UOM983052:UOM983054 UOM983057:UOM983058 UOM983132:UOM983135 UYI93:UYI95 UYI65548:UYI65550 UYI65553:UYI65554 UYI65628:UYI65631 UYI131084:UYI131086 UYI131089:UYI131090 UYI131164:UYI131167 UYI196620:UYI196622 UYI196625:UYI196626 UYI196700:UYI196703 UYI262156:UYI262158 UYI262161:UYI262162 UYI262236:UYI262239 UYI327692:UYI327694 UYI327697:UYI327698 UYI327772:UYI327775 UYI393228:UYI393230 UYI393233:UYI393234 UYI393308:UYI393311 UYI458764:UYI458766 UYI458769:UYI458770 UYI458844:UYI458847 UYI524300:UYI524302 UYI524305:UYI524306 UYI524380:UYI524383 UYI589836:UYI589838 UYI589841:UYI589842 UYI589916:UYI589919 UYI655372:UYI655374 UYI655377:UYI655378 UYI655452:UYI655455 UYI720908:UYI720910 UYI720913:UYI720914 UYI720988:UYI720991 UYI786444:UYI786446 UYI786449:UYI786450 UYI786524:UYI786527 UYI851980:UYI851982 UYI851985:UYI851986 UYI852060:UYI852063 UYI917516:UYI917518 UYI917521:UYI917522 UYI917596:UYI917599 UYI983052:UYI983054 UYI983057:UYI983058 UYI983132:UYI983135 VIE93:VIE95 VIE65548:VIE65550 VIE65553:VIE65554 VIE65628:VIE65631 VIE131084:VIE131086 VIE131089:VIE131090 VIE131164:VIE131167 VIE196620:VIE196622 VIE196625:VIE196626 VIE196700:VIE196703 VIE262156:VIE262158 VIE262161:VIE262162 VIE262236:VIE262239 VIE327692:VIE327694 VIE327697:VIE327698 VIE327772:VIE327775 VIE393228:VIE393230 VIE393233:VIE393234 VIE393308:VIE393311 VIE458764:VIE458766 VIE458769:VIE458770 VIE458844:VIE458847 VIE524300:VIE524302 VIE524305:VIE524306 VIE524380:VIE524383 VIE589836:VIE589838 VIE589841:VIE589842 VIE589916:VIE589919 VIE655372:VIE655374 VIE655377:VIE655378 VIE655452:VIE655455 VIE720908:VIE720910 VIE720913:VIE720914 VIE720988:VIE720991 VIE786444:VIE786446 VIE786449:VIE786450 VIE786524:VIE786527 VIE851980:VIE851982 VIE851985:VIE851986 VIE852060:VIE852063 VIE917516:VIE917518 VIE917521:VIE917522 VIE917596:VIE917599 VIE983052:VIE983054 VIE983057:VIE983058 VIE983132:VIE983135 VSA93:VSA95 VSA65548:VSA65550 VSA65553:VSA65554 VSA65628:VSA65631 VSA131084:VSA131086 VSA131089:VSA131090 VSA131164:VSA131167 VSA196620:VSA196622 VSA196625:VSA196626 VSA196700:VSA196703 VSA262156:VSA262158 VSA262161:VSA262162 VSA262236:VSA262239 VSA327692:VSA327694 VSA327697:VSA327698 VSA327772:VSA327775 VSA393228:VSA393230 VSA393233:VSA393234 VSA393308:VSA393311 VSA458764:VSA458766 VSA458769:VSA458770 VSA458844:VSA458847 VSA524300:VSA524302 VSA524305:VSA524306 VSA524380:VSA524383 VSA589836:VSA589838 VSA589841:VSA589842 VSA589916:VSA589919 VSA655372:VSA655374 VSA655377:VSA655378 VSA655452:VSA655455 VSA720908:VSA720910 VSA720913:VSA720914 VSA720988:VSA720991 VSA786444:VSA786446 VSA786449:VSA786450 VSA786524:VSA786527 VSA851980:VSA851982 VSA851985:VSA851986 VSA852060:VSA852063 VSA917516:VSA917518 VSA917521:VSA917522 VSA917596:VSA917599 VSA983052:VSA983054 VSA983057:VSA983058 VSA983132:VSA983135 WBW93:WBW95 WBW65548:WBW65550 WBW65553:WBW65554 WBW65628:WBW65631 WBW131084:WBW131086 WBW131089:WBW131090 WBW131164:WBW131167 WBW196620:WBW196622 WBW196625:WBW196626 WBW196700:WBW196703 WBW262156:WBW262158 WBW262161:WBW262162 WBW262236:WBW262239 WBW327692:WBW327694 WBW327697:WBW327698 WBW327772:WBW327775 WBW393228:WBW393230 WBW393233:WBW393234 WBW393308:WBW393311 WBW458764:WBW458766 WBW458769:WBW458770 WBW458844:WBW458847 WBW524300:WBW524302 WBW524305:WBW524306 WBW524380:WBW524383 WBW589836:WBW589838 WBW589841:WBW589842 WBW589916:WBW589919 WBW655372:WBW655374 WBW655377:WBW655378 WBW655452:WBW655455 WBW720908:WBW720910 WBW720913:WBW720914 WBW720988:WBW720991 WBW786444:WBW786446 WBW786449:WBW786450 WBW786524:WBW786527 WBW851980:WBW851982 WBW851985:WBW851986 WBW852060:WBW852063 WBW917516:WBW917518 WBW917521:WBW917522 WBW917596:WBW917599 WBW983052:WBW983054 WBW983057:WBW983058 WBW983132:WBW983135 WLS93:WLS95 WLS65548:WLS65550 WLS65553:WLS65554 WLS65628:WLS65631 WLS131084:WLS131086 WLS131089:WLS131090 WLS131164:WLS131167 WLS196620:WLS196622 WLS196625:WLS196626 WLS196700:WLS196703 WLS262156:WLS262158 WLS262161:WLS262162 WLS262236:WLS262239 WLS327692:WLS327694 WLS327697:WLS327698 WLS327772:WLS327775 WLS393228:WLS393230 WLS393233:WLS393234 WLS393308:WLS393311 WLS458764:WLS458766 WLS458769:WLS458770 WLS458844:WLS458847 WLS524300:WLS524302 WLS524305:WLS524306 WLS524380:WLS524383 WLS589836:WLS589838 WLS589841:WLS589842 WLS589916:WLS589919 WLS655372:WLS655374 WLS655377:WLS655378 WLS655452:WLS655455 WLS720908:WLS720910 WLS720913:WLS720914 WLS720988:WLS720991 WLS786444:WLS786446 WLS786449:WLS786450 WLS786524:WLS786527 WLS851980:WLS851982 WLS851985:WLS851986 WLS852060:WLS852063 WLS917516:WLS917518 WLS917521:WLS917522 WLS917596:WLS917599 WLS983052:WLS983054 WLS983057:WLS983058 WLS983132:WLS983135 WVO93:WVO95 WVO65548:WVO65550 WVO65553:WVO65554 WVO65628:WVO65631 WVO131084:WVO131086 WVO131089:WVO131090 WVO131164:WVO131167 WVO196620:WVO196622 WVO196625:WVO196626 WVO196700:WVO196703 WVO262156:WVO262158 WVO262161:WVO262162 WVO262236:WVO262239 WVO327692:WVO327694 WVO327697:WVO327698 WVO327772:WVO327775 WVO393228:WVO393230 WVO393233:WVO393234 WVO393308:WVO393311 WVO458764:WVO458766 WVO458769:WVO458770 WVO458844:WVO458847 WVO524300:WVO524302 WVO524305:WVO524306 WVO524380:WVO524383 WVO589836:WVO589838 WVO589841:WVO589842 WVO589916:WVO589919 WVO655372:WVO655374 WVO655377:WVO655378 WVO655452:WVO655455 WVO720908:WVO720910 WVO720913:WVO720914 WVO720988:WVO720991 WVO786444:WVO786446 WVO786449:WVO786450 WVO786524:WVO786527 WVO851980:WVO851982 WVO851985:WVO851986 WVO852060:WVO852063 WVO917516:WVO917518 WVO917521:WVO917522 WVO917596:WVO917599 WVO983052:WVO983054 JC20 SY20 ACU20 AMQ20 AWM20 BGI20 BQE20 CAA20 CJW20 CTS20 DDO20 DNK20 DXG20 EHC20 EQY20 FAU20 FKQ20 FUM20 GEI20 GOE20 GYA20 HHW20 HRS20 IBO20 ILK20 IVG20 JFC20 JOY20 JYU20 KIQ20 KSM20 LCI20 LME20 LWA20 MFW20 MPS20 MZO20 NJK20 NTG20 ODC20 OMY20 OWU20 PGQ20 PQM20 QAI20 QKE20 QUA20 RDW20 RNS20 RXO20 SHK20 SRG20 TBC20 TKY20 TUU20 UEQ20 UOM20 UYI20 VIE20 VSA20 WBW20 WLS20 WVO20 JC65570:JC65571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91F3-7598-4760-8818-B99B72625C60}">
  <sheetPr>
    <tabColor rgb="FFFF0000"/>
    <pageSetUpPr fitToPage="1"/>
  </sheetPr>
  <dimension ref="A1:P54"/>
  <sheetViews>
    <sheetView zoomScale="85" zoomScaleNormal="85" zoomScaleSheetLayoutView="90" workbookViewId="0">
      <selection activeCell="A10" sqref="A10:G10"/>
    </sheetView>
  </sheetViews>
  <sheetFormatPr defaultColWidth="9" defaultRowHeight="14.25"/>
  <cols>
    <col min="1" max="1" width="5.7109375" style="155" customWidth="1"/>
    <col min="2" max="2" width="11.42578125" style="155" customWidth="1"/>
    <col min="3" max="3" width="12.28515625" style="229" customWidth="1"/>
    <col min="4" max="4" width="16" style="229" customWidth="1"/>
    <col min="5" max="5" width="30.42578125" style="155" customWidth="1"/>
    <col min="6" max="6" width="37.42578125" style="229" customWidth="1"/>
    <col min="7" max="7" width="44.7109375" style="155" customWidth="1"/>
    <col min="8" max="8" width="15.7109375" style="230" customWidth="1"/>
    <col min="9" max="9" width="16.7109375" style="230" customWidth="1"/>
    <col min="10" max="10" width="15.7109375" style="231" customWidth="1"/>
    <col min="11" max="11" width="15.7109375" style="155" hidden="1" customWidth="1"/>
    <col min="12" max="12" width="13.7109375" style="155" customWidth="1"/>
    <col min="13" max="14" width="16" style="155" hidden="1" customWidth="1"/>
    <col min="15" max="16384" width="9" style="155"/>
  </cols>
  <sheetData>
    <row r="1" spans="1:16" ht="34.5" customHeight="1">
      <c r="A1" s="463" t="s">
        <v>61</v>
      </c>
      <c r="B1" s="463"/>
      <c r="C1" s="463"/>
      <c r="D1" s="463"/>
      <c r="E1" s="463"/>
      <c r="F1" s="463"/>
      <c r="G1" s="463"/>
      <c r="H1" s="463"/>
      <c r="I1" s="463"/>
      <c r="J1" s="463"/>
      <c r="K1" s="463"/>
      <c r="L1" s="463"/>
    </row>
    <row r="2" spans="1:16" ht="34.5" customHeight="1">
      <c r="A2" s="464" t="s">
        <v>119</v>
      </c>
      <c r="B2" s="464"/>
      <c r="C2" s="464"/>
      <c r="D2" s="464"/>
      <c r="E2" s="464"/>
      <c r="F2" s="464"/>
      <c r="G2" s="464"/>
      <c r="H2" s="464"/>
      <c r="I2" s="464"/>
      <c r="J2" s="464"/>
      <c r="K2" s="464"/>
      <c r="L2" s="464"/>
    </row>
    <row r="3" spans="1:16" s="159" customFormat="1" ht="32.65" customHeight="1">
      <c r="A3" s="156" t="s">
        <v>111</v>
      </c>
      <c r="B3" s="156" t="s">
        <v>112</v>
      </c>
      <c r="C3" s="157" t="s">
        <v>14</v>
      </c>
      <c r="D3" s="156" t="s">
        <v>22</v>
      </c>
      <c r="E3" s="156" t="s">
        <v>16</v>
      </c>
      <c r="F3" s="157" t="s">
        <v>27</v>
      </c>
      <c r="G3" s="156" t="s">
        <v>18</v>
      </c>
      <c r="H3" s="156" t="s">
        <v>113</v>
      </c>
      <c r="I3" s="156" t="s">
        <v>114</v>
      </c>
      <c r="J3" s="156" t="s">
        <v>97</v>
      </c>
      <c r="K3" s="156" t="s">
        <v>98</v>
      </c>
      <c r="L3" s="156" t="s">
        <v>99</v>
      </c>
      <c r="M3" s="158"/>
      <c r="N3" s="158"/>
      <c r="O3" s="158"/>
      <c r="P3" s="158"/>
    </row>
    <row r="4" spans="1:16" s="169" customFormat="1" ht="31.9" customHeight="1">
      <c r="A4" s="160"/>
      <c r="B4" s="161">
        <v>2023</v>
      </c>
      <c r="C4" s="161"/>
      <c r="D4" s="162"/>
      <c r="E4" s="161"/>
      <c r="F4" s="161"/>
      <c r="G4" s="161"/>
      <c r="H4" s="163"/>
      <c r="I4" s="164" t="s">
        <v>6</v>
      </c>
      <c r="J4" s="165">
        <v>0</v>
      </c>
      <c r="K4" s="166"/>
      <c r="L4" s="167"/>
      <c r="M4" s="168"/>
      <c r="N4" s="168"/>
      <c r="O4" s="168"/>
      <c r="P4" s="168"/>
    </row>
    <row r="5" spans="1:16" ht="35.25" customHeight="1">
      <c r="A5" s="170">
        <v>1</v>
      </c>
      <c r="B5" s="171">
        <v>45047</v>
      </c>
      <c r="C5" s="172" t="s">
        <v>8</v>
      </c>
      <c r="D5" s="131" t="s">
        <v>128</v>
      </c>
      <c r="E5" s="173" t="s">
        <v>85</v>
      </c>
      <c r="F5" s="174" t="s">
        <v>59</v>
      </c>
      <c r="G5" s="175" t="s">
        <v>121</v>
      </c>
      <c r="H5" s="176">
        <v>1280</v>
      </c>
      <c r="I5" s="177"/>
      <c r="J5" s="178">
        <f>J4+H5-I5</f>
        <v>1280</v>
      </c>
      <c r="K5" s="179">
        <f t="shared" ref="K5" si="0">ROUND((I5*4000),0)</f>
        <v>0</v>
      </c>
      <c r="L5" s="180"/>
    </row>
    <row r="6" spans="1:16" ht="35.25" customHeight="1">
      <c r="A6" s="170">
        <v>2</v>
      </c>
      <c r="B6" s="171">
        <v>45058</v>
      </c>
      <c r="C6" s="172" t="s">
        <v>7</v>
      </c>
      <c r="D6" s="181" t="s">
        <v>122</v>
      </c>
      <c r="E6" s="175" t="s">
        <v>100</v>
      </c>
      <c r="F6" s="174" t="s">
        <v>73</v>
      </c>
      <c r="G6" s="175" t="s">
        <v>120</v>
      </c>
      <c r="H6" s="240"/>
      <c r="I6" s="177">
        <v>150</v>
      </c>
      <c r="J6" s="178">
        <f>J5+H6-I6</f>
        <v>1130</v>
      </c>
      <c r="K6" s="179"/>
      <c r="L6" s="241"/>
    </row>
    <row r="7" spans="1:16" ht="45" customHeight="1">
      <c r="A7" s="170">
        <v>3</v>
      </c>
      <c r="B7" s="171">
        <v>45075</v>
      </c>
      <c r="C7" s="172" t="s">
        <v>7</v>
      </c>
      <c r="D7" s="181" t="s">
        <v>123</v>
      </c>
      <c r="E7" s="175" t="s">
        <v>115</v>
      </c>
      <c r="F7" s="174" t="s">
        <v>71</v>
      </c>
      <c r="G7" s="182" t="s">
        <v>118</v>
      </c>
      <c r="H7" s="240"/>
      <c r="I7" s="184">
        <v>7.5</v>
      </c>
      <c r="J7" s="178">
        <f t="shared" ref="J7:J8" si="1">J6+H7-I7</f>
        <v>1122.5</v>
      </c>
      <c r="K7" s="179"/>
      <c r="L7" s="242"/>
    </row>
    <row r="8" spans="1:16" ht="35.25" customHeight="1">
      <c r="A8" s="170">
        <v>4</v>
      </c>
      <c r="B8" s="171">
        <v>45075</v>
      </c>
      <c r="C8" s="172" t="s">
        <v>7</v>
      </c>
      <c r="D8" s="181" t="s">
        <v>124</v>
      </c>
      <c r="E8" s="175" t="s">
        <v>100</v>
      </c>
      <c r="F8" s="174" t="s">
        <v>87</v>
      </c>
      <c r="G8" s="244" t="s">
        <v>125</v>
      </c>
      <c r="H8" s="240"/>
      <c r="I8" s="184">
        <v>10</v>
      </c>
      <c r="J8" s="178">
        <f t="shared" si="1"/>
        <v>1112.5</v>
      </c>
      <c r="K8" s="179"/>
      <c r="L8" s="241"/>
    </row>
    <row r="9" spans="1:16" ht="35.25" customHeight="1">
      <c r="A9" s="170">
        <v>5</v>
      </c>
      <c r="B9" s="171">
        <v>45076</v>
      </c>
      <c r="C9" s="172" t="s">
        <v>7</v>
      </c>
      <c r="D9" s="243" t="s">
        <v>129</v>
      </c>
      <c r="E9" s="235" t="s">
        <v>85</v>
      </c>
      <c r="F9" s="186" t="s">
        <v>95</v>
      </c>
      <c r="G9" s="185" t="s">
        <v>126</v>
      </c>
      <c r="H9" s="183"/>
      <c r="I9" s="187">
        <v>1112.5</v>
      </c>
      <c r="J9" s="178">
        <f>J8+H9-I9</f>
        <v>0</v>
      </c>
      <c r="K9" s="179"/>
      <c r="L9" s="241"/>
    </row>
    <row r="10" spans="1:16" s="192" customFormat="1" ht="31.9" customHeight="1">
      <c r="A10" s="465" t="s">
        <v>2</v>
      </c>
      <c r="B10" s="465"/>
      <c r="C10" s="465"/>
      <c r="D10" s="465"/>
      <c r="E10" s="465"/>
      <c r="F10" s="465"/>
      <c r="G10" s="465"/>
      <c r="H10" s="188">
        <f>SUM(H5:H9)</f>
        <v>1280</v>
      </c>
      <c r="I10" s="189">
        <f>SUM(I5:I9)</f>
        <v>1280</v>
      </c>
      <c r="J10" s="188">
        <f>J4+H10-I10</f>
        <v>0</v>
      </c>
      <c r="K10" s="190">
        <f>SUM(K5:K9)</f>
        <v>0</v>
      </c>
      <c r="L10" s="191"/>
    </row>
    <row r="11" spans="1:16" s="197" customFormat="1" ht="12" customHeight="1">
      <c r="A11" s="193"/>
      <c r="B11" s="193"/>
      <c r="C11" s="193"/>
      <c r="D11" s="193"/>
      <c r="E11" s="194"/>
      <c r="F11" s="193"/>
      <c r="G11" s="193"/>
      <c r="H11" s="195"/>
      <c r="I11" s="195"/>
      <c r="J11" s="196"/>
      <c r="K11" s="194"/>
      <c r="L11" s="194"/>
    </row>
    <row r="12" spans="1:16" s="197" customFormat="1" ht="19.899999999999999" customHeight="1">
      <c r="A12" s="198" t="s">
        <v>116</v>
      </c>
      <c r="B12" s="198"/>
      <c r="C12" s="198"/>
      <c r="D12" s="198"/>
      <c r="F12" s="198" t="s">
        <v>117</v>
      </c>
      <c r="G12" s="199"/>
      <c r="H12" s="198" t="s">
        <v>39</v>
      </c>
      <c r="I12" s="198"/>
      <c r="J12" s="194"/>
      <c r="K12" s="194"/>
      <c r="L12" s="194"/>
      <c r="M12" s="466" t="s">
        <v>101</v>
      </c>
      <c r="N12" s="466"/>
    </row>
    <row r="13" spans="1:16" s="197" customFormat="1" ht="19.899999999999999" customHeight="1">
      <c r="A13" s="200"/>
      <c r="B13" s="200"/>
      <c r="C13" s="201"/>
      <c r="D13" s="202"/>
      <c r="E13" s="194"/>
      <c r="F13" s="200"/>
      <c r="G13" s="194"/>
      <c r="H13" s="194"/>
      <c r="I13" s="194"/>
      <c r="J13" s="194"/>
      <c r="K13" s="194"/>
      <c r="L13" s="194"/>
      <c r="M13" s="236"/>
      <c r="N13" s="237" t="s">
        <v>102</v>
      </c>
    </row>
    <row r="14" spans="1:16" s="197" customFormat="1" ht="25.15" customHeight="1">
      <c r="A14" s="202"/>
      <c r="B14" s="202"/>
      <c r="C14" s="201"/>
      <c r="D14" s="202"/>
      <c r="E14" s="194"/>
      <c r="F14" s="200"/>
      <c r="G14" s="194"/>
      <c r="H14" s="194"/>
      <c r="I14" s="194"/>
      <c r="J14" s="194"/>
      <c r="K14" s="194"/>
      <c r="L14" s="194"/>
      <c r="M14" s="203" t="e">
        <f>M13+(#REF!/4000)</f>
        <v>#REF!</v>
      </c>
      <c r="N14" s="239" t="s">
        <v>103</v>
      </c>
    </row>
    <row r="15" spans="1:16" s="197" customFormat="1" ht="19.899999999999999" customHeight="1">
      <c r="A15" s="204" t="s">
        <v>3</v>
      </c>
      <c r="B15" s="204"/>
      <c r="C15" s="205"/>
      <c r="D15" s="205"/>
      <c r="E15" s="194"/>
      <c r="F15" s="204" t="s">
        <v>3</v>
      </c>
      <c r="G15" s="194"/>
      <c r="H15" s="204" t="s">
        <v>3</v>
      </c>
      <c r="I15" s="204"/>
      <c r="J15" s="206"/>
      <c r="K15" s="194"/>
      <c r="L15" s="194"/>
    </row>
    <row r="16" spans="1:16" s="197" customFormat="1" ht="19.899999999999999" customHeight="1">
      <c r="A16" s="207"/>
      <c r="B16" s="207"/>
      <c r="C16" s="201"/>
      <c r="D16" s="202"/>
      <c r="E16" s="194"/>
      <c r="F16" s="200"/>
      <c r="G16" s="194"/>
      <c r="H16" s="194"/>
      <c r="I16" s="194"/>
      <c r="J16" s="194"/>
      <c r="K16" s="194"/>
      <c r="L16" s="194"/>
    </row>
    <row r="17" spans="1:12" s="197" customFormat="1" ht="19.899999999999999" customHeight="1">
      <c r="A17" s="204" t="s">
        <v>4</v>
      </c>
      <c r="B17" s="204"/>
      <c r="C17" s="467">
        <v>45076</v>
      </c>
      <c r="D17" s="467"/>
      <c r="E17" s="194"/>
      <c r="F17" s="204" t="s">
        <v>127</v>
      </c>
      <c r="G17" s="194"/>
      <c r="H17" s="204" t="s">
        <v>4</v>
      </c>
      <c r="I17" s="204"/>
      <c r="J17" s="205"/>
      <c r="K17" s="208"/>
      <c r="L17" s="194"/>
    </row>
    <row r="18" spans="1:12" s="197" customFormat="1" ht="19.899999999999999" customHeight="1">
      <c r="A18" s="202"/>
      <c r="B18" s="202"/>
      <c r="C18" s="201"/>
      <c r="D18" s="202"/>
      <c r="E18" s="194"/>
      <c r="F18" s="194"/>
      <c r="G18" s="194"/>
      <c r="H18" s="194"/>
      <c r="I18" s="194"/>
      <c r="J18" s="194"/>
      <c r="K18" s="194"/>
      <c r="L18" s="194"/>
    </row>
    <row r="19" spans="1:12" s="197" customFormat="1" ht="19.899999999999999" customHeight="1">
      <c r="A19" s="209"/>
      <c r="B19" s="209"/>
      <c r="C19" s="201"/>
      <c r="D19" s="209"/>
      <c r="E19" s="194"/>
      <c r="F19" s="194"/>
      <c r="G19" s="460" t="str">
        <f>A2</f>
        <v>PETTY CASH OF URATA-MANAGEMENT FOR MAY 2023 (UM)</v>
      </c>
      <c r="H19" s="461"/>
      <c r="I19" s="461"/>
      <c r="J19" s="462"/>
      <c r="K19" s="194"/>
      <c r="L19" s="194"/>
    </row>
    <row r="20" spans="1:12" ht="37.5" customHeight="1">
      <c r="A20" s="210"/>
      <c r="B20" s="210"/>
      <c r="C20" s="201"/>
      <c r="D20" s="209"/>
      <c r="E20" s="211"/>
      <c r="F20" s="212"/>
      <c r="G20" s="213" t="s">
        <v>23</v>
      </c>
      <c r="H20" s="214" t="s">
        <v>35</v>
      </c>
      <c r="I20" s="215" t="s">
        <v>36</v>
      </c>
      <c r="J20" s="215" t="s">
        <v>96</v>
      </c>
      <c r="K20" s="194"/>
      <c r="L20" s="211"/>
    </row>
    <row r="21" spans="1:12" ht="19.899999999999999" customHeight="1">
      <c r="A21" s="207"/>
      <c r="B21" s="207"/>
      <c r="C21" s="201"/>
      <c r="D21" s="209"/>
      <c r="E21" s="211"/>
      <c r="F21" s="212"/>
      <c r="G21" s="216" t="s">
        <v>59</v>
      </c>
      <c r="H21" s="217">
        <f>SUMIF($F$5:$F$9,G21,$H$5:$H$9)</f>
        <v>1280</v>
      </c>
      <c r="I21" s="217"/>
      <c r="J21" s="218"/>
      <c r="K21" s="194"/>
      <c r="L21" s="211"/>
    </row>
    <row r="22" spans="1:12" ht="19.899999999999999" customHeight="1">
      <c r="A22" s="207"/>
      <c r="B22" s="207"/>
      <c r="C22" s="201"/>
      <c r="D22" s="209"/>
      <c r="E22" s="211"/>
      <c r="F22" s="212"/>
      <c r="G22" s="216" t="s">
        <v>95</v>
      </c>
      <c r="H22" s="217"/>
      <c r="I22" s="217">
        <f t="shared" ref="I22:I30" si="2">SUMIF($F$5:$F$9,G22,$I$5:$I$9)</f>
        <v>1112.5</v>
      </c>
      <c r="J22" s="217"/>
      <c r="K22" s="194"/>
      <c r="L22" s="211"/>
    </row>
    <row r="23" spans="1:12" ht="19.899999999999999" customHeight="1">
      <c r="A23" s="210"/>
      <c r="B23" s="210"/>
      <c r="C23" s="201"/>
      <c r="D23" s="212"/>
      <c r="E23" s="211"/>
      <c r="F23" s="212"/>
      <c r="G23" s="219" t="s">
        <v>71</v>
      </c>
      <c r="H23" s="220">
        <v>100</v>
      </c>
      <c r="I23" s="221">
        <f t="shared" si="2"/>
        <v>7.5</v>
      </c>
      <c r="J23" s="222">
        <f>H23-I23</f>
        <v>92.5</v>
      </c>
      <c r="K23" s="194"/>
      <c r="L23" s="211"/>
    </row>
    <row r="24" spans="1:12" ht="19.899999999999999" customHeight="1">
      <c r="A24" s="210"/>
      <c r="B24" s="210"/>
      <c r="C24" s="201"/>
      <c r="D24" s="212"/>
      <c r="E24" s="211"/>
      <c r="F24" s="212"/>
      <c r="G24" s="219" t="s">
        <v>109</v>
      </c>
      <c r="H24" s="220">
        <v>440</v>
      </c>
      <c r="I24" s="221">
        <f t="shared" si="2"/>
        <v>0</v>
      </c>
      <c r="J24" s="222">
        <f t="shared" ref="J24:J30" si="3">H24-I24</f>
        <v>440</v>
      </c>
      <c r="K24" s="194"/>
      <c r="L24" s="211"/>
    </row>
    <row r="25" spans="1:12" ht="19.899999999999999" customHeight="1">
      <c r="A25" s="210"/>
      <c r="B25" s="210"/>
      <c r="C25" s="201"/>
      <c r="D25" s="212"/>
      <c r="E25" s="211"/>
      <c r="F25" s="212"/>
      <c r="G25" s="219" t="s">
        <v>72</v>
      </c>
      <c r="H25" s="220">
        <v>200</v>
      </c>
      <c r="I25" s="221">
        <f t="shared" si="2"/>
        <v>0</v>
      </c>
      <c r="J25" s="222">
        <f t="shared" si="3"/>
        <v>200</v>
      </c>
      <c r="K25" s="194"/>
      <c r="L25" s="211"/>
    </row>
    <row r="26" spans="1:12" ht="19.899999999999999" customHeight="1">
      <c r="A26" s="210"/>
      <c r="B26" s="210"/>
      <c r="C26" s="201"/>
      <c r="D26" s="212"/>
      <c r="E26" s="211"/>
      <c r="F26" s="212"/>
      <c r="G26" s="219" t="s">
        <v>86</v>
      </c>
      <c r="H26" s="220">
        <v>10</v>
      </c>
      <c r="I26" s="221">
        <f t="shared" si="2"/>
        <v>0</v>
      </c>
      <c r="J26" s="222">
        <f t="shared" si="3"/>
        <v>10</v>
      </c>
      <c r="K26" s="194"/>
      <c r="L26" s="211"/>
    </row>
    <row r="27" spans="1:12" ht="19.899999999999999" customHeight="1">
      <c r="A27" s="211"/>
      <c r="B27" s="211"/>
      <c r="C27" s="207"/>
      <c r="D27" s="212"/>
      <c r="E27" s="211"/>
      <c r="F27" s="212"/>
      <c r="G27" s="223" t="s">
        <v>87</v>
      </c>
      <c r="H27" s="220">
        <v>30</v>
      </c>
      <c r="I27" s="221">
        <f t="shared" si="2"/>
        <v>10</v>
      </c>
      <c r="J27" s="222">
        <f t="shared" si="3"/>
        <v>20</v>
      </c>
      <c r="K27" s="194"/>
      <c r="L27" s="211"/>
    </row>
    <row r="28" spans="1:12" ht="19.899999999999999" customHeight="1">
      <c r="A28" s="211"/>
      <c r="B28" s="211"/>
      <c r="C28" s="207"/>
      <c r="D28" s="212"/>
      <c r="E28" s="211"/>
      <c r="F28" s="212"/>
      <c r="G28" s="219" t="s">
        <v>74</v>
      </c>
      <c r="H28" s="220">
        <v>200</v>
      </c>
      <c r="I28" s="221">
        <f t="shared" si="2"/>
        <v>0</v>
      </c>
      <c r="J28" s="222">
        <f t="shared" si="3"/>
        <v>200</v>
      </c>
      <c r="K28" s="194"/>
      <c r="L28" s="211"/>
    </row>
    <row r="29" spans="1:12" ht="19.899999999999999" customHeight="1">
      <c r="A29" s="211"/>
      <c r="B29" s="211"/>
      <c r="C29" s="207"/>
      <c r="D29" s="212"/>
      <c r="E29" s="211"/>
      <c r="F29" s="212"/>
      <c r="G29" s="219" t="s">
        <v>88</v>
      </c>
      <c r="H29" s="220">
        <v>200</v>
      </c>
      <c r="I29" s="221">
        <f t="shared" si="2"/>
        <v>0</v>
      </c>
      <c r="J29" s="222">
        <f t="shared" si="3"/>
        <v>200</v>
      </c>
      <c r="K29" s="194"/>
      <c r="L29" s="211"/>
    </row>
    <row r="30" spans="1:12" ht="19.899999999999999" customHeight="1">
      <c r="A30" s="211"/>
      <c r="B30" s="211"/>
      <c r="C30" s="207"/>
      <c r="D30" s="212"/>
      <c r="E30" s="211"/>
      <c r="F30" s="212"/>
      <c r="G30" s="219" t="s">
        <v>73</v>
      </c>
      <c r="H30" s="220">
        <v>100</v>
      </c>
      <c r="I30" s="221">
        <f t="shared" si="2"/>
        <v>150</v>
      </c>
      <c r="J30" s="222">
        <f t="shared" si="3"/>
        <v>-50</v>
      </c>
      <c r="K30" s="194"/>
      <c r="L30" s="211"/>
    </row>
    <row r="31" spans="1:12" ht="19.899999999999999" customHeight="1">
      <c r="A31" s="211"/>
      <c r="B31" s="211"/>
      <c r="C31" s="212"/>
      <c r="D31" s="212"/>
      <c r="E31" s="211"/>
      <c r="F31" s="212"/>
      <c r="G31" s="224" t="s">
        <v>28</v>
      </c>
      <c r="H31" s="225">
        <f>SUM(H23:H30)</f>
        <v>1280</v>
      </c>
      <c r="I31" s="225">
        <f>SUM(I21:I30)</f>
        <v>1280</v>
      </c>
      <c r="J31" s="225">
        <f>SUM(J21:J30)</f>
        <v>1112.5</v>
      </c>
      <c r="K31" s="226"/>
      <c r="L31" s="211"/>
    </row>
    <row r="32" spans="1:12" ht="19.899999999999999" customHeight="1">
      <c r="A32" s="211"/>
      <c r="B32" s="211"/>
      <c r="C32" s="212"/>
      <c r="D32" s="212"/>
      <c r="E32" s="211"/>
      <c r="F32" s="212"/>
      <c r="G32" s="227"/>
      <c r="H32" s="228"/>
      <c r="I32" s="228">
        <f>I31-I10</f>
        <v>0</v>
      </c>
      <c r="J32" s="228"/>
      <c r="K32" s="194"/>
      <c r="L32" s="211"/>
    </row>
    <row r="33" spans="5:11" ht="19.899999999999999" customHeight="1"/>
    <row r="34" spans="5:11" ht="19.899999999999999" customHeight="1"/>
    <row r="35" spans="5:11" ht="19.899999999999999" customHeight="1">
      <c r="E35" s="232"/>
      <c r="F35" s="232"/>
      <c r="H35" s="155"/>
      <c r="I35" s="155"/>
    </row>
    <row r="36" spans="5:11">
      <c r="E36" s="233"/>
      <c r="F36" s="233"/>
      <c r="H36" s="155"/>
      <c r="I36" s="155"/>
      <c r="J36" s="155"/>
      <c r="K36" s="197"/>
    </row>
    <row r="37" spans="5:11">
      <c r="E37" s="232"/>
      <c r="F37" s="232"/>
      <c r="H37" s="155"/>
      <c r="I37" s="155"/>
      <c r="J37" s="155"/>
      <c r="K37" s="197"/>
    </row>
    <row r="38" spans="5:11">
      <c r="E38" s="232"/>
      <c r="F38" s="232"/>
      <c r="H38" s="155"/>
      <c r="I38" s="155"/>
      <c r="J38" s="155"/>
      <c r="K38" s="197"/>
    </row>
    <row r="39" spans="5:11">
      <c r="H39" s="155"/>
      <c r="I39" s="155"/>
      <c r="J39" s="155"/>
      <c r="K39" s="197"/>
    </row>
    <row r="40" spans="5:11">
      <c r="F40" s="234"/>
      <c r="H40" s="155"/>
      <c r="I40" s="155"/>
      <c r="J40" s="155"/>
      <c r="K40" s="197"/>
    </row>
    <row r="41" spans="5:11">
      <c r="H41" s="155"/>
      <c r="I41" s="155"/>
      <c r="J41" s="155"/>
      <c r="K41" s="197"/>
    </row>
    <row r="42" spans="5:11">
      <c r="F42" s="234"/>
      <c r="H42" s="155"/>
      <c r="I42" s="155"/>
      <c r="J42" s="155"/>
      <c r="K42" s="197"/>
    </row>
    <row r="43" spans="5:11">
      <c r="H43" s="155"/>
      <c r="I43" s="155"/>
      <c r="J43" s="155"/>
      <c r="K43" s="197"/>
    </row>
    <row r="44" spans="5:11">
      <c r="H44" s="155"/>
      <c r="I44" s="155"/>
      <c r="J44" s="155"/>
      <c r="K44" s="197"/>
    </row>
    <row r="45" spans="5:11">
      <c r="H45" s="155"/>
      <c r="I45" s="155"/>
      <c r="J45" s="155"/>
      <c r="K45" s="197"/>
    </row>
    <row r="46" spans="5:11">
      <c r="H46" s="155"/>
      <c r="I46" s="155"/>
      <c r="J46" s="155"/>
      <c r="K46" s="197"/>
    </row>
    <row r="47" spans="5:11">
      <c r="H47" s="155"/>
      <c r="I47" s="155"/>
      <c r="J47" s="155"/>
      <c r="K47" s="197"/>
    </row>
    <row r="48" spans="5:11">
      <c r="H48" s="155"/>
      <c r="I48" s="155"/>
      <c r="J48" s="155"/>
      <c r="K48" s="197"/>
    </row>
    <row r="49" spans="8:11">
      <c r="H49" s="155"/>
      <c r="I49" s="155"/>
      <c r="J49" s="155"/>
      <c r="K49" s="197"/>
    </row>
    <row r="50" spans="8:11">
      <c r="H50" s="155"/>
      <c r="I50" s="155"/>
      <c r="J50" s="155"/>
      <c r="K50" s="197"/>
    </row>
    <row r="51" spans="8:11">
      <c r="H51" s="155"/>
      <c r="I51" s="155"/>
      <c r="J51" s="155"/>
      <c r="K51" s="197"/>
    </row>
    <row r="52" spans="8:11">
      <c r="H52" s="155"/>
      <c r="I52" s="155"/>
      <c r="J52" s="155"/>
    </row>
    <row r="53" spans="8:11">
      <c r="H53" s="155"/>
      <c r="I53" s="155"/>
      <c r="J53" s="155"/>
    </row>
    <row r="54" spans="8:11">
      <c r="H54" s="155"/>
      <c r="I54" s="155"/>
      <c r="J54" s="155"/>
    </row>
  </sheetData>
  <autoFilter ref="A4:L10" xr:uid="{00000000-0009-0000-0000-000000000000}"/>
  <mergeCells count="6">
    <mergeCell ref="G19:J19"/>
    <mergeCell ref="A1:L1"/>
    <mergeCell ref="A2:L2"/>
    <mergeCell ref="A10:G10"/>
    <mergeCell ref="M12:N12"/>
    <mergeCell ref="C17:D17"/>
  </mergeCells>
  <phoneticPr fontId="41" type="noConversion"/>
  <dataValidations count="3">
    <dataValidation type="list" allowBlank="1" showInputMessage="1" showErrorMessage="1" sqref="F5:F7 F9" xr:uid="{02DD97CD-AC35-458E-8346-CC66B31CB846}">
      <formula1>$G$21:$G$30</formula1>
    </dataValidation>
    <dataValidation type="list" allowBlank="1" showInputMessage="1" showErrorMessage="1" sqref="F8" xr:uid="{89BD6492-D599-41F0-AB6B-D8C256B6C6A8}">
      <formula1>$G$19:$G$27</formula1>
    </dataValidation>
    <dataValidation type="list" allowBlank="1" showInputMessage="1" showErrorMessage="1" sqref="C5:C9" xr:uid="{F05085DC-CDC4-4E00-BC56-4920AED55809}">
      <formula1>"PAYMENT,RECEIPT"</formula1>
    </dataValidation>
  </dataValidations>
  <printOptions horizontalCentered="1"/>
  <pageMargins left="0" right="0" top="0.5" bottom="0.25" header="0" footer="0"/>
  <pageSetup paperSize="9" scale="65" fitToHeight="0" orientation="landscape" r:id="rId1"/>
  <headerFooter alignWithMargins="0">
    <oddHeader>&amp;R&amp;A</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56066CE-3A92-4927-8E33-53513F34C96F}">
          <x14:formula1>
            <xm:f>#REF!</xm:f>
          </x14:formula1>
          <xm:sqref>WVE982970:WVE982971 WVE917434:WVE917435 WVE851898:WVE851899 WVE786362:WVE786363 WVE720826:WVE720827 WVE655290:WVE655291 WVE589754:WVE589755 WVE524218:WVE524219 WVE458682:WVE458683 WVE393146:WVE393147 WVE327610:WVE327611 WVE262074:WVE262075 WVE196538:WVE196539 WVE131002:WVE131003 WVE65466:WVE65467 WLI982970:WLI982971 WLI917434:WLI917435 WLI851898:WLI851899 WLI786362:WLI786363 WLI720826:WLI720827 WLI655290:WLI655291 WLI589754:WLI589755 WLI524218:WLI524219 WLI458682:WLI458683 WLI393146:WLI393147 WLI327610:WLI327611 WLI262074:WLI262075 WLI196538:WLI196539 WLI131002:WLI131003 WLI65466:WLI65467 WBM982970:WBM982971 WBM917434:WBM917435 WBM851898:WBM851899 WBM786362:WBM786363 WBM720826:WBM720827 WBM655290:WBM655291 WBM589754:WBM589755 WBM524218:WBM524219 WBM458682:WBM458683 WBM393146:WBM393147 WBM327610:WBM327611 WBM262074:WBM262075 WBM196538:WBM196539 WBM131002:WBM131003 WBM65466:WBM65467 VRQ982970:VRQ982971 VRQ917434:VRQ917435 VRQ851898:VRQ851899 VRQ786362:VRQ786363 VRQ720826:VRQ720827 VRQ655290:VRQ655291 VRQ589754:VRQ589755 VRQ524218:VRQ524219 VRQ458682:VRQ458683 VRQ393146:VRQ393147 VRQ327610:VRQ327611 VRQ262074:VRQ262075 VRQ196538:VRQ196539 VRQ131002:VRQ131003 VRQ65466:VRQ65467 VHU982970:VHU982971 VHU917434:VHU917435 VHU851898:VHU851899 VHU786362:VHU786363 VHU720826:VHU720827 VHU655290:VHU655291 VHU589754:VHU589755 VHU524218:VHU524219 VHU458682:VHU458683 VHU393146:VHU393147 VHU327610:VHU327611 VHU262074:VHU262075 VHU196538:VHU196539 VHU131002:VHU131003 VHU65466:VHU65467 UXY982970:UXY982971 UXY917434:UXY917435 UXY851898:UXY851899 UXY786362:UXY786363 UXY720826:UXY720827 UXY655290:UXY655291 UXY589754:UXY589755 UXY524218:UXY524219 UXY458682:UXY458683 UXY393146:UXY393147 UXY327610:UXY327611 UXY262074:UXY262075 UXY196538:UXY196539 UXY131002:UXY131003 UXY65466:UXY65467 UOC982970:UOC982971 UOC917434:UOC917435 UOC851898:UOC851899 UOC786362:UOC786363 UOC720826:UOC720827 UOC655290:UOC655291 UOC589754:UOC589755 UOC524218:UOC524219 UOC458682:UOC458683 UOC393146:UOC393147 UOC327610:UOC327611 UOC262074:UOC262075 UOC196538:UOC196539 UOC131002:UOC131003 UOC65466:UOC65467 UEG982970:UEG982971 UEG917434:UEG917435 UEG851898:UEG851899 UEG786362:UEG786363 UEG720826:UEG720827 UEG655290:UEG655291 UEG589754:UEG589755 UEG524218:UEG524219 UEG458682:UEG458683 UEG393146:UEG393147 UEG327610:UEG327611 UEG262074:UEG262075 UEG196538:UEG196539 UEG131002:UEG131003 UEG65466:UEG65467 TUK982970:TUK982971 TUK917434:TUK917435 TUK851898:TUK851899 TUK786362:TUK786363 TUK720826:TUK720827 TUK655290:TUK655291 TUK589754:TUK589755 TUK524218:TUK524219 TUK458682:TUK458683 TUK393146:TUK393147 TUK327610:TUK327611 TUK262074:TUK262075 TUK196538:TUK196539 TUK131002:TUK131003 TUK65466:TUK65467 TKO982970:TKO982971 TKO917434:TKO917435 TKO851898:TKO851899 TKO786362:TKO786363 TKO720826:TKO720827 TKO655290:TKO655291 TKO589754:TKO589755 TKO524218:TKO524219 TKO458682:TKO458683 TKO393146:TKO393147 TKO327610:TKO327611 TKO262074:TKO262075 TKO196538:TKO196539 TKO131002:TKO131003 TKO65466:TKO65467 TAS982970:TAS982971 TAS917434:TAS917435 TAS851898:TAS851899 TAS786362:TAS786363 TAS720826:TAS720827 TAS655290:TAS655291 TAS589754:TAS589755 TAS524218:TAS524219 TAS458682:TAS458683 TAS393146:TAS393147 TAS327610:TAS327611 TAS262074:TAS262075 TAS196538:TAS196539 TAS131002:TAS131003 TAS65466:TAS65467 SQW982970:SQW982971 SQW917434:SQW917435 SQW851898:SQW851899 SQW786362:SQW786363 SQW720826:SQW720827 SQW655290:SQW655291 SQW589754:SQW589755 SQW524218:SQW524219 SQW458682:SQW458683 SQW393146:SQW393147 SQW327610:SQW327611 SQW262074:SQW262075 SQW196538:SQW196539 SQW131002:SQW131003 SQW65466:SQW65467 SHA982970:SHA982971 SHA917434:SHA917435 SHA851898:SHA851899 SHA786362:SHA786363 SHA720826:SHA720827 SHA655290:SHA655291 SHA589754:SHA589755 SHA524218:SHA524219 SHA458682:SHA458683 SHA393146:SHA393147 SHA327610:SHA327611 SHA262074:SHA262075 SHA196538:SHA196539 SHA131002:SHA131003 SHA65466:SHA65467 RXE982970:RXE982971 RXE917434:RXE917435 RXE851898:RXE851899 RXE786362:RXE786363 RXE720826:RXE720827 RXE655290:RXE655291 RXE589754:RXE589755 RXE524218:RXE524219 RXE458682:RXE458683 RXE393146:RXE393147 RXE327610:RXE327611 RXE262074:RXE262075 RXE196538:RXE196539 RXE131002:RXE131003 RXE65466:RXE65467 RNI982970:RNI982971 RNI917434:RNI917435 RNI851898:RNI851899 RNI786362:RNI786363 RNI720826:RNI720827 RNI655290:RNI655291 RNI589754:RNI589755 RNI524218:RNI524219 RNI458682:RNI458683 RNI393146:RNI393147 RNI327610:RNI327611 RNI262074:RNI262075 RNI196538:RNI196539 RNI131002:RNI131003 RNI65466:RNI65467 RDM982970:RDM982971 RDM917434:RDM917435 RDM851898:RDM851899 RDM786362:RDM786363 RDM720826:RDM720827 RDM655290:RDM655291 RDM589754:RDM589755 RDM524218:RDM524219 RDM458682:RDM458683 RDM393146:RDM393147 RDM327610:RDM327611 RDM262074:RDM262075 RDM196538:RDM196539 RDM131002:RDM131003 RDM65466:RDM65467 QTQ982970:QTQ982971 QTQ917434:QTQ917435 QTQ851898:QTQ851899 QTQ786362:QTQ786363 QTQ720826:QTQ720827 QTQ655290:QTQ655291 QTQ589754:QTQ589755 QTQ524218:QTQ524219 QTQ458682:QTQ458683 QTQ393146:QTQ393147 QTQ327610:QTQ327611 QTQ262074:QTQ262075 QTQ196538:QTQ196539 QTQ131002:QTQ131003 QTQ65466:QTQ65467 QJU982970:QJU982971 QJU917434:QJU917435 QJU851898:QJU851899 QJU786362:QJU786363 QJU720826:QJU720827 QJU655290:QJU655291 QJU589754:QJU589755 QJU524218:QJU524219 QJU458682:QJU458683 QJU393146:QJU393147 QJU327610:QJU327611 QJU262074:QJU262075 QJU196538:QJU196539 QJU131002:QJU131003 QJU65466:QJU65467 PZY982970:PZY982971 PZY917434:PZY917435 PZY851898:PZY851899 PZY786362:PZY786363 PZY720826:PZY720827 PZY655290:PZY655291 PZY589754:PZY589755 PZY524218:PZY524219 PZY458682:PZY458683 PZY393146:PZY393147 PZY327610:PZY327611 PZY262074:PZY262075 PZY196538:PZY196539 PZY131002:PZY131003 PZY65466:PZY65467 PQC982970:PQC982971 PQC917434:PQC917435 PQC851898:PQC851899 PQC786362:PQC786363 PQC720826:PQC720827 PQC655290:PQC655291 PQC589754:PQC589755 PQC524218:PQC524219 PQC458682:PQC458683 PQC393146:PQC393147 PQC327610:PQC327611 PQC262074:PQC262075 PQC196538:PQC196539 PQC131002:PQC131003 PQC65466:PQC65467 PGG982970:PGG982971 PGG917434:PGG917435 PGG851898:PGG851899 PGG786362:PGG786363 PGG720826:PGG720827 PGG655290:PGG655291 PGG589754:PGG589755 PGG524218:PGG524219 PGG458682:PGG458683 PGG393146:PGG393147 PGG327610:PGG327611 PGG262074:PGG262075 PGG196538:PGG196539 PGG131002:PGG131003 PGG65466:PGG65467 OWK982970:OWK982971 OWK917434:OWK917435 OWK851898:OWK851899 OWK786362:OWK786363 OWK720826:OWK720827 OWK655290:OWK655291 OWK589754:OWK589755 OWK524218:OWK524219 OWK458682:OWK458683 OWK393146:OWK393147 OWK327610:OWK327611 OWK262074:OWK262075 OWK196538:OWK196539 OWK131002:OWK131003 OWK65466:OWK65467 OMO982970:OMO982971 OMO917434:OMO917435 OMO851898:OMO851899 OMO786362:OMO786363 OMO720826:OMO720827 OMO655290:OMO655291 OMO589754:OMO589755 OMO524218:OMO524219 OMO458682:OMO458683 OMO393146:OMO393147 OMO327610:OMO327611 OMO262074:OMO262075 OMO196538:OMO196539 OMO131002:OMO131003 OMO65466:OMO65467 OCS982970:OCS982971 OCS917434:OCS917435 OCS851898:OCS851899 OCS786362:OCS786363 OCS720826:OCS720827 OCS655290:OCS655291 OCS589754:OCS589755 OCS524218:OCS524219 OCS458682:OCS458683 OCS393146:OCS393147 OCS327610:OCS327611 OCS262074:OCS262075 OCS196538:OCS196539 OCS131002:OCS131003 OCS65466:OCS65467 NSW982970:NSW982971 NSW917434:NSW917435 NSW851898:NSW851899 NSW786362:NSW786363 NSW720826:NSW720827 NSW655290:NSW655291 NSW589754:NSW589755 NSW524218:NSW524219 NSW458682:NSW458683 NSW393146:NSW393147 NSW327610:NSW327611 NSW262074:NSW262075 NSW196538:NSW196539 NSW131002:NSW131003 NSW65466:NSW65467 NJA982970:NJA982971 NJA917434:NJA917435 NJA851898:NJA851899 NJA786362:NJA786363 NJA720826:NJA720827 NJA655290:NJA655291 NJA589754:NJA589755 NJA524218:NJA524219 NJA458682:NJA458683 NJA393146:NJA393147 NJA327610:NJA327611 NJA262074:NJA262075 NJA196538:NJA196539 NJA131002:NJA131003 NJA65466:NJA65467 MZE982970:MZE982971 MZE917434:MZE917435 MZE851898:MZE851899 MZE786362:MZE786363 MZE720826:MZE720827 MZE655290:MZE655291 MZE589754:MZE589755 MZE524218:MZE524219 MZE458682:MZE458683 MZE393146:MZE393147 MZE327610:MZE327611 MZE262074:MZE262075 MZE196538:MZE196539 MZE131002:MZE131003 MZE65466:MZE65467 MPI982970:MPI982971 MPI917434:MPI917435 MPI851898:MPI851899 MPI786362:MPI786363 MPI720826:MPI720827 MPI655290:MPI655291 MPI589754:MPI589755 MPI524218:MPI524219 MPI458682:MPI458683 MPI393146:MPI393147 MPI327610:MPI327611 MPI262074:MPI262075 MPI196538:MPI196539 MPI131002:MPI131003 MPI65466:MPI65467 MFM982970:MFM982971 MFM917434:MFM917435 MFM851898:MFM851899 MFM786362:MFM786363 MFM720826:MFM720827 MFM655290:MFM655291 MFM589754:MFM589755 MFM524218:MFM524219 MFM458682:MFM458683 MFM393146:MFM393147 MFM327610:MFM327611 MFM262074:MFM262075 MFM196538:MFM196539 MFM131002:MFM131003 MFM65466:MFM65467 LVQ982970:LVQ982971 LVQ917434:LVQ917435 LVQ851898:LVQ851899 LVQ786362:LVQ786363 LVQ720826:LVQ720827 LVQ655290:LVQ655291 LVQ589754:LVQ589755 LVQ524218:LVQ524219 LVQ458682:LVQ458683 LVQ393146:LVQ393147 LVQ327610:LVQ327611 LVQ262074:LVQ262075 LVQ196538:LVQ196539 LVQ131002:LVQ131003 LVQ65466:LVQ65467 LLU982970:LLU982971 LLU917434:LLU917435 LLU851898:LLU851899 LLU786362:LLU786363 LLU720826:LLU720827 LLU655290:LLU655291 LLU589754:LLU589755 LLU524218:LLU524219 LLU458682:LLU458683 LLU393146:LLU393147 LLU327610:LLU327611 LLU262074:LLU262075 LLU196538:LLU196539 LLU131002:LLU131003 LLU65466:LLU65467 LBY982970:LBY982971 LBY917434:LBY917435 LBY851898:LBY851899 LBY786362:LBY786363 LBY720826:LBY720827 LBY655290:LBY655291 LBY589754:LBY589755 LBY524218:LBY524219 LBY458682:LBY458683 LBY393146:LBY393147 LBY327610:LBY327611 LBY262074:LBY262075 LBY196538:LBY196539 LBY131002:LBY131003 LBY65466:LBY65467 KSC982970:KSC982971 KSC917434:KSC917435 KSC851898:KSC851899 KSC786362:KSC786363 KSC720826:KSC720827 KSC655290:KSC655291 KSC589754:KSC589755 KSC524218:KSC524219 KSC458682:KSC458683 KSC393146:KSC393147 KSC327610:KSC327611 KSC262074:KSC262075 KSC196538:KSC196539 KSC131002:KSC131003 KSC65466:KSC65467 KIG982970:KIG982971 KIG917434:KIG917435 KIG851898:KIG851899 KIG786362:KIG786363 KIG720826:KIG720827 KIG655290:KIG655291 KIG589754:KIG589755 KIG524218:KIG524219 KIG458682:KIG458683 KIG393146:KIG393147 KIG327610:KIG327611 KIG262074:KIG262075 KIG196538:KIG196539 KIG131002:KIG131003 KIG65466:KIG65467 JYK982970:JYK982971 JYK917434:JYK917435 JYK851898:JYK851899 JYK786362:JYK786363 JYK720826:JYK720827 JYK655290:JYK655291 JYK589754:JYK589755 JYK524218:JYK524219 JYK458682:JYK458683 JYK393146:JYK393147 JYK327610:JYK327611 JYK262074:JYK262075 JYK196538:JYK196539 JYK131002:JYK131003 JYK65466:JYK65467 JOO982970:JOO982971 JOO917434:JOO917435 JOO851898:JOO851899 JOO786362:JOO786363 JOO720826:JOO720827 JOO655290:JOO655291 JOO589754:JOO589755 JOO524218:JOO524219 JOO458682:JOO458683 JOO393146:JOO393147 JOO327610:JOO327611 JOO262074:JOO262075 JOO196538:JOO196539 JOO131002:JOO131003 JOO65466:JOO65467 JES982970:JES982971 JES917434:JES917435 JES851898:JES851899 JES786362:JES786363 JES720826:JES720827 JES655290:JES655291 JES589754:JES589755 JES524218:JES524219 JES458682:JES458683 JES393146:JES393147 JES327610:JES327611 JES262074:JES262075 JES196538:JES196539 JES131002:JES131003 JES65466:JES65467 IUW982970:IUW982971 IUW917434:IUW917435 IUW851898:IUW851899 IUW786362:IUW786363 IUW720826:IUW720827 IUW655290:IUW655291 IUW589754:IUW589755 IUW524218:IUW524219 IUW458682:IUW458683 IUW393146:IUW393147 IUW327610:IUW327611 IUW262074:IUW262075 IUW196538:IUW196539 IUW131002:IUW131003 IUW65466:IUW65467 ILA982970:ILA982971 ILA917434:ILA917435 ILA851898:ILA851899 ILA786362:ILA786363 ILA720826:ILA720827 ILA655290:ILA655291 ILA589754:ILA589755 ILA524218:ILA524219 ILA458682:ILA458683 ILA393146:ILA393147 ILA327610:ILA327611 ILA262074:ILA262075 ILA196538:ILA196539 ILA131002:ILA131003 ILA65466:ILA65467 IBE982970:IBE982971 IBE917434:IBE917435 IBE851898:IBE851899 IBE786362:IBE786363 IBE720826:IBE720827 IBE655290:IBE655291 IBE589754:IBE589755 IBE524218:IBE524219 IBE458682:IBE458683 IBE393146:IBE393147 IBE327610:IBE327611 IBE262074:IBE262075 IBE196538:IBE196539 IBE131002:IBE131003 IBE65466:IBE65467 HRI982970:HRI982971 HRI917434:HRI917435 HRI851898:HRI851899 HRI786362:HRI786363 HRI720826:HRI720827 HRI655290:HRI655291 HRI589754:HRI589755 HRI524218:HRI524219 HRI458682:HRI458683 HRI393146:HRI393147 HRI327610:HRI327611 HRI262074:HRI262075 HRI196538:HRI196539 HRI131002:HRI131003 HRI65466:HRI65467 HHM982970:HHM982971 HHM917434:HHM917435 HHM851898:HHM851899 HHM786362:HHM786363 HHM720826:HHM720827 HHM655290:HHM655291 HHM589754:HHM589755 HHM524218:HHM524219 HHM458682:HHM458683 HHM393146:HHM393147 HHM327610:HHM327611 HHM262074:HHM262075 HHM196538:HHM196539 HHM131002:HHM131003 HHM65466:HHM65467 GXQ982970:GXQ982971 GXQ917434:GXQ917435 GXQ851898:GXQ851899 GXQ786362:GXQ786363 GXQ720826:GXQ720827 GXQ655290:GXQ655291 GXQ589754:GXQ589755 GXQ524218:GXQ524219 GXQ458682:GXQ458683 GXQ393146:GXQ393147 GXQ327610:GXQ327611 GXQ262074:GXQ262075 GXQ196538:GXQ196539 GXQ131002:GXQ131003 GXQ65466:GXQ65467 GNU982970:GNU982971 GNU917434:GNU917435 GNU851898:GNU851899 GNU786362:GNU786363 GNU720826:GNU720827 GNU655290:GNU655291 GNU589754:GNU589755 GNU524218:GNU524219 GNU458682:GNU458683 GNU393146:GNU393147 GNU327610:GNU327611 GNU262074:GNU262075 GNU196538:GNU196539 GNU131002:GNU131003 GNU65466:GNU65467 GDY982970:GDY982971 GDY917434:GDY917435 GDY851898:GDY851899 GDY786362:GDY786363 GDY720826:GDY720827 GDY655290:GDY655291 GDY589754:GDY589755 GDY524218:GDY524219 GDY458682:GDY458683 GDY393146:GDY393147 GDY327610:GDY327611 GDY262074:GDY262075 GDY196538:GDY196539 GDY131002:GDY131003 GDY65466:GDY65467 FUC982970:FUC982971 FUC917434:FUC917435 FUC851898:FUC851899 FUC786362:FUC786363 FUC720826:FUC720827 FUC655290:FUC655291 FUC589754:FUC589755 FUC524218:FUC524219 FUC458682:FUC458683 FUC393146:FUC393147 FUC327610:FUC327611 FUC262074:FUC262075 FUC196538:FUC196539 FUC131002:FUC131003 FUC65466:FUC65467 FKG982970:FKG982971 FKG917434:FKG917435 FKG851898:FKG851899 FKG786362:FKG786363 FKG720826:FKG720827 FKG655290:FKG655291 FKG589754:FKG589755 FKG524218:FKG524219 FKG458682:FKG458683 FKG393146:FKG393147 FKG327610:FKG327611 FKG262074:FKG262075 FKG196538:FKG196539 FKG131002:FKG131003 FKG65466:FKG65467 FAK982970:FAK982971 FAK917434:FAK917435 FAK851898:FAK851899 FAK786362:FAK786363 FAK720826:FAK720827 FAK655290:FAK655291 FAK589754:FAK589755 FAK524218:FAK524219 FAK458682:FAK458683 FAK393146:FAK393147 FAK327610:FAK327611 FAK262074:FAK262075 FAK196538:FAK196539 FAK131002:FAK131003 FAK65466:FAK65467 EQO982970:EQO982971 EQO917434:EQO917435 EQO851898:EQO851899 EQO786362:EQO786363 EQO720826:EQO720827 EQO655290:EQO655291 EQO589754:EQO589755 EQO524218:EQO524219 EQO458682:EQO458683 EQO393146:EQO393147 EQO327610:EQO327611 EQO262074:EQO262075 EQO196538:EQO196539 EQO131002:EQO131003 EQO65466:EQO65467 EGS982970:EGS982971 EGS917434:EGS917435 EGS851898:EGS851899 EGS786362:EGS786363 EGS720826:EGS720827 EGS655290:EGS655291 EGS589754:EGS589755 EGS524218:EGS524219 EGS458682:EGS458683 EGS393146:EGS393147 EGS327610:EGS327611 EGS262074:EGS262075 EGS196538:EGS196539 EGS131002:EGS131003 EGS65466:EGS65467 DWW982970:DWW982971 DWW917434:DWW917435 DWW851898:DWW851899 DWW786362:DWW786363 DWW720826:DWW720827 DWW655290:DWW655291 DWW589754:DWW589755 DWW524218:DWW524219 DWW458682:DWW458683 DWW393146:DWW393147 DWW327610:DWW327611 DWW262074:DWW262075 DWW196538:DWW196539 DWW131002:DWW131003 DWW65466:DWW65467 DNA982970:DNA982971 DNA917434:DNA917435 DNA851898:DNA851899 DNA786362:DNA786363 DNA720826:DNA720827 DNA655290:DNA655291 DNA589754:DNA589755 DNA524218:DNA524219 DNA458682:DNA458683 DNA393146:DNA393147 DNA327610:DNA327611 DNA262074:DNA262075 DNA196538:DNA196539 DNA131002:DNA131003 DNA65466:DNA65467 DDE982970:DDE982971 DDE917434:DDE917435 DDE851898:DDE851899 DDE786362:DDE786363 DDE720826:DDE720827 DDE655290:DDE655291 DDE589754:DDE589755 DDE524218:DDE524219 DDE458682:DDE458683 DDE393146:DDE393147 DDE327610:DDE327611 DDE262074:DDE262075 DDE196538:DDE196539 DDE131002:DDE131003 DDE65466:DDE65467 CTI982970:CTI982971 CTI917434:CTI917435 CTI851898:CTI851899 CTI786362:CTI786363 CTI720826:CTI720827 CTI655290:CTI655291 CTI589754:CTI589755 CTI524218:CTI524219 CTI458682:CTI458683 CTI393146:CTI393147 CTI327610:CTI327611 CTI262074:CTI262075 CTI196538:CTI196539 CTI131002:CTI131003 CTI65466:CTI65467 CJM982970:CJM982971 CJM917434:CJM917435 CJM851898:CJM851899 CJM786362:CJM786363 CJM720826:CJM720827 CJM655290:CJM655291 CJM589754:CJM589755 CJM524218:CJM524219 CJM458682:CJM458683 CJM393146:CJM393147 CJM327610:CJM327611 CJM262074:CJM262075 CJM196538:CJM196539 CJM131002:CJM131003 CJM65466:CJM65467 BZQ982970:BZQ982971 BZQ917434:BZQ917435 BZQ851898:BZQ851899 BZQ786362:BZQ786363 BZQ720826:BZQ720827 BZQ655290:BZQ655291 BZQ589754:BZQ589755 BZQ524218:BZQ524219 BZQ458682:BZQ458683 BZQ393146:BZQ393147 BZQ327610:BZQ327611 BZQ262074:BZQ262075 BZQ196538:BZQ196539 BZQ131002:BZQ131003 BZQ65466:BZQ65467 BPU982970:BPU982971 BPU917434:BPU917435 BPU851898:BPU851899 BPU786362:BPU786363 BPU720826:BPU720827 BPU655290:BPU655291 BPU589754:BPU589755 BPU524218:BPU524219 BPU458682:BPU458683 BPU393146:BPU393147 BPU327610:BPU327611 BPU262074:BPU262075 BPU196538:BPU196539 BPU131002:BPU131003 BPU65466:BPU65467 BFY982970:BFY982971 BFY917434:BFY917435 BFY851898:BFY851899 BFY786362:BFY786363 BFY720826:BFY720827 BFY655290:BFY655291 BFY589754:BFY589755 BFY524218:BFY524219 BFY458682:BFY458683 BFY393146:BFY393147 BFY327610:BFY327611 BFY262074:BFY262075 BFY196538:BFY196539 BFY131002:BFY131003 BFY65466:BFY65467 AWC982970:AWC982971 AWC917434:AWC917435 AWC851898:AWC851899 AWC786362:AWC786363 AWC720826:AWC720827 AWC655290:AWC655291 AWC589754:AWC589755 AWC524218:AWC524219 AWC458682:AWC458683 AWC393146:AWC393147 AWC327610:AWC327611 AWC262074:AWC262075 AWC196538:AWC196539 AWC131002:AWC131003 AWC65466:AWC65467 AMG982970:AMG982971 AMG917434:AMG917435 AMG851898:AMG851899 AMG786362:AMG786363 AMG720826:AMG720827 AMG655290:AMG655291 AMG589754:AMG589755 AMG524218:AMG524219 AMG458682:AMG458683 AMG393146:AMG393147 AMG327610:AMG327611 AMG262074:AMG262075 AMG196538:AMG196539 AMG131002:AMG131003 AMG65466:AMG65467 ACK982970:ACK982971 ACK917434:ACK917435 ACK851898:ACK851899 ACK786362:ACK786363 ACK720826:ACK720827 ACK655290:ACK655291 ACK589754:ACK589755 ACK524218:ACK524219 ACK458682:ACK458683 ACK393146:ACK393147 ACK327610:ACK327611 ACK262074:ACK262075 ACK196538:ACK196539 ACK131002:ACK131003 ACK65466:ACK65467 SO982970:SO982971 SO917434:SO917435 SO851898:SO851899 SO786362:SO786363 SO720826:SO720827 SO655290:SO655291 SO589754:SO589755 SO524218:SO524219 SO458682:SO458683 SO393146:SO393147 SO327610:SO327611 SO262074:SO262075 SO196538:SO196539 SO131002:SO131003 SO65466:SO65467 IS982970:IS982971 IS917434:IS917435 IS851898:IS851899 IS786362:IS786363 IS720826:IS720827 IS655290:IS655291 IS589754:IS589755 IS524218:IS524219 IS458682:IS458683 IS393146:IS393147 IS327610:IS327611 IS262074:IS262075 IS196538:IS196539 IS131002:IS131003 IS65466:IS65467 IS65452 WVE983028:WVE983031 WVE982953:WVE982954 WVE982948:WVE982950 WVE917492:WVE917495 WVE917417:WVE917418 WVE917412:WVE917414 WVE851956:WVE851959 WVE851881:WVE851882 WVE851876:WVE851878 WVE786420:WVE786423 WVE786345:WVE786346 WVE786340:WVE786342 WVE720884:WVE720887 WVE720809:WVE720810 WVE720804:WVE720806 WVE655348:WVE655351 WVE655273:WVE655274 WVE655268:WVE655270 WVE589812:WVE589815 WVE589737:WVE589738 WVE589732:WVE589734 WVE524276:WVE524279 WVE524201:WVE524202 WVE524196:WVE524198 WVE458740:WVE458743 WVE458665:WVE458666 WVE458660:WVE458662 WVE393204:WVE393207 WVE393129:WVE393130 WVE393124:WVE393126 WVE327668:WVE327671 WVE327593:WVE327594 WVE327588:WVE327590 WVE262132:WVE262135 WVE262057:WVE262058 WVE262052:WVE262054 WVE196596:WVE196599 WVE196521:WVE196522 WVE196516:WVE196518 WVE131060:WVE131063 WVE130985:WVE130986 WVE130980:WVE130982 WVE65524:WVE65527 WVE65449:WVE65450 WVE65444:WVE65446 WLI983028:WLI983031 WLI982953:WLI982954 WLI982948:WLI982950 WLI917492:WLI917495 WLI917417:WLI917418 WLI917412:WLI917414 WLI851956:WLI851959 WLI851881:WLI851882 WLI851876:WLI851878 WLI786420:WLI786423 WLI786345:WLI786346 WLI786340:WLI786342 WLI720884:WLI720887 WLI720809:WLI720810 WLI720804:WLI720806 WLI655348:WLI655351 WLI655273:WLI655274 WLI655268:WLI655270 WLI589812:WLI589815 WLI589737:WLI589738 WLI589732:WLI589734 WLI524276:WLI524279 WLI524201:WLI524202 WLI524196:WLI524198 WLI458740:WLI458743 WLI458665:WLI458666 WLI458660:WLI458662 WLI393204:WLI393207 WLI393129:WLI393130 WLI393124:WLI393126 WLI327668:WLI327671 WLI327593:WLI327594 WLI327588:WLI327590 WLI262132:WLI262135 WLI262057:WLI262058 WLI262052:WLI262054 WLI196596:WLI196599 WLI196521:WLI196522 WLI196516:WLI196518 WLI131060:WLI131063 WLI130985:WLI130986 WLI130980:WLI130982 WLI65524:WLI65527 WLI65449:WLI65450 WLI65444:WLI65446 WBM983028:WBM983031 WBM982953:WBM982954 WBM982948:WBM982950 WBM917492:WBM917495 WBM917417:WBM917418 WBM917412:WBM917414 WBM851956:WBM851959 WBM851881:WBM851882 WBM851876:WBM851878 WBM786420:WBM786423 WBM786345:WBM786346 WBM786340:WBM786342 WBM720884:WBM720887 WBM720809:WBM720810 WBM720804:WBM720806 WBM655348:WBM655351 WBM655273:WBM655274 WBM655268:WBM655270 WBM589812:WBM589815 WBM589737:WBM589738 WBM589732:WBM589734 WBM524276:WBM524279 WBM524201:WBM524202 WBM524196:WBM524198 WBM458740:WBM458743 WBM458665:WBM458666 WBM458660:WBM458662 WBM393204:WBM393207 WBM393129:WBM393130 WBM393124:WBM393126 WBM327668:WBM327671 WBM327593:WBM327594 WBM327588:WBM327590 WBM262132:WBM262135 WBM262057:WBM262058 WBM262052:WBM262054 WBM196596:WBM196599 WBM196521:WBM196522 WBM196516:WBM196518 WBM131060:WBM131063 WBM130985:WBM130986 WBM130980:WBM130982 WBM65524:WBM65527 WBM65449:WBM65450 WBM65444:WBM65446 VRQ983028:VRQ983031 VRQ982953:VRQ982954 VRQ982948:VRQ982950 VRQ917492:VRQ917495 VRQ917417:VRQ917418 VRQ917412:VRQ917414 VRQ851956:VRQ851959 VRQ851881:VRQ851882 VRQ851876:VRQ851878 VRQ786420:VRQ786423 VRQ786345:VRQ786346 VRQ786340:VRQ786342 VRQ720884:VRQ720887 VRQ720809:VRQ720810 VRQ720804:VRQ720806 VRQ655348:VRQ655351 VRQ655273:VRQ655274 VRQ655268:VRQ655270 VRQ589812:VRQ589815 VRQ589737:VRQ589738 VRQ589732:VRQ589734 VRQ524276:VRQ524279 VRQ524201:VRQ524202 VRQ524196:VRQ524198 VRQ458740:VRQ458743 VRQ458665:VRQ458666 VRQ458660:VRQ458662 VRQ393204:VRQ393207 VRQ393129:VRQ393130 VRQ393124:VRQ393126 VRQ327668:VRQ327671 VRQ327593:VRQ327594 VRQ327588:VRQ327590 VRQ262132:VRQ262135 VRQ262057:VRQ262058 VRQ262052:VRQ262054 VRQ196596:VRQ196599 VRQ196521:VRQ196522 VRQ196516:VRQ196518 VRQ131060:VRQ131063 VRQ130985:VRQ130986 VRQ130980:VRQ130982 VRQ65524:VRQ65527 VRQ65449:VRQ65450 VRQ65444:VRQ65446 VHU983028:VHU983031 VHU982953:VHU982954 VHU982948:VHU982950 VHU917492:VHU917495 VHU917417:VHU917418 VHU917412:VHU917414 VHU851956:VHU851959 VHU851881:VHU851882 VHU851876:VHU851878 VHU786420:VHU786423 VHU786345:VHU786346 VHU786340:VHU786342 VHU720884:VHU720887 VHU720809:VHU720810 VHU720804:VHU720806 VHU655348:VHU655351 VHU655273:VHU655274 VHU655268:VHU655270 VHU589812:VHU589815 VHU589737:VHU589738 VHU589732:VHU589734 VHU524276:VHU524279 VHU524201:VHU524202 VHU524196:VHU524198 VHU458740:VHU458743 VHU458665:VHU458666 VHU458660:VHU458662 VHU393204:VHU393207 VHU393129:VHU393130 VHU393124:VHU393126 VHU327668:VHU327671 VHU327593:VHU327594 VHU327588:VHU327590 VHU262132:VHU262135 VHU262057:VHU262058 VHU262052:VHU262054 VHU196596:VHU196599 VHU196521:VHU196522 VHU196516:VHU196518 VHU131060:VHU131063 VHU130985:VHU130986 VHU130980:VHU130982 VHU65524:VHU65527 VHU65449:VHU65450 VHU65444:VHU65446 UXY983028:UXY983031 UXY982953:UXY982954 UXY982948:UXY982950 UXY917492:UXY917495 UXY917417:UXY917418 UXY917412:UXY917414 UXY851956:UXY851959 UXY851881:UXY851882 UXY851876:UXY851878 UXY786420:UXY786423 UXY786345:UXY786346 UXY786340:UXY786342 UXY720884:UXY720887 UXY720809:UXY720810 UXY720804:UXY720806 UXY655348:UXY655351 UXY655273:UXY655274 UXY655268:UXY655270 UXY589812:UXY589815 UXY589737:UXY589738 UXY589732:UXY589734 UXY524276:UXY524279 UXY524201:UXY524202 UXY524196:UXY524198 UXY458740:UXY458743 UXY458665:UXY458666 UXY458660:UXY458662 UXY393204:UXY393207 UXY393129:UXY393130 UXY393124:UXY393126 UXY327668:UXY327671 UXY327593:UXY327594 UXY327588:UXY327590 UXY262132:UXY262135 UXY262057:UXY262058 UXY262052:UXY262054 UXY196596:UXY196599 UXY196521:UXY196522 UXY196516:UXY196518 UXY131060:UXY131063 UXY130985:UXY130986 UXY130980:UXY130982 UXY65524:UXY65527 UXY65449:UXY65450 UXY65444:UXY65446 UOC983028:UOC983031 UOC982953:UOC982954 UOC982948:UOC982950 UOC917492:UOC917495 UOC917417:UOC917418 UOC917412:UOC917414 UOC851956:UOC851959 UOC851881:UOC851882 UOC851876:UOC851878 UOC786420:UOC786423 UOC786345:UOC786346 UOC786340:UOC786342 UOC720884:UOC720887 UOC720809:UOC720810 UOC720804:UOC720806 UOC655348:UOC655351 UOC655273:UOC655274 UOC655268:UOC655270 UOC589812:UOC589815 UOC589737:UOC589738 UOC589732:UOC589734 UOC524276:UOC524279 UOC524201:UOC524202 UOC524196:UOC524198 UOC458740:UOC458743 UOC458665:UOC458666 UOC458660:UOC458662 UOC393204:UOC393207 UOC393129:UOC393130 UOC393124:UOC393126 UOC327668:UOC327671 UOC327593:UOC327594 UOC327588:UOC327590 UOC262132:UOC262135 UOC262057:UOC262058 UOC262052:UOC262054 UOC196596:UOC196599 UOC196521:UOC196522 UOC196516:UOC196518 UOC131060:UOC131063 UOC130985:UOC130986 UOC130980:UOC130982 UOC65524:UOC65527 UOC65449:UOC65450 UOC65444:UOC65446 UEG983028:UEG983031 UEG982953:UEG982954 UEG982948:UEG982950 UEG917492:UEG917495 UEG917417:UEG917418 UEG917412:UEG917414 UEG851956:UEG851959 UEG851881:UEG851882 UEG851876:UEG851878 UEG786420:UEG786423 UEG786345:UEG786346 UEG786340:UEG786342 UEG720884:UEG720887 UEG720809:UEG720810 UEG720804:UEG720806 UEG655348:UEG655351 UEG655273:UEG655274 UEG655268:UEG655270 UEG589812:UEG589815 UEG589737:UEG589738 UEG589732:UEG589734 UEG524276:UEG524279 UEG524201:UEG524202 UEG524196:UEG524198 UEG458740:UEG458743 UEG458665:UEG458666 UEG458660:UEG458662 UEG393204:UEG393207 UEG393129:UEG393130 UEG393124:UEG393126 UEG327668:UEG327671 UEG327593:UEG327594 UEG327588:UEG327590 UEG262132:UEG262135 UEG262057:UEG262058 UEG262052:UEG262054 UEG196596:UEG196599 UEG196521:UEG196522 UEG196516:UEG196518 UEG131060:UEG131063 UEG130985:UEG130986 UEG130980:UEG130982 UEG65524:UEG65527 UEG65449:UEG65450 UEG65444:UEG65446 TUK983028:TUK983031 TUK982953:TUK982954 TUK982948:TUK982950 TUK917492:TUK917495 TUK917417:TUK917418 TUK917412:TUK917414 TUK851956:TUK851959 TUK851881:TUK851882 TUK851876:TUK851878 TUK786420:TUK786423 TUK786345:TUK786346 TUK786340:TUK786342 TUK720884:TUK720887 TUK720809:TUK720810 TUK720804:TUK720806 TUK655348:TUK655351 TUK655273:TUK655274 TUK655268:TUK655270 TUK589812:TUK589815 TUK589737:TUK589738 TUK589732:TUK589734 TUK524276:TUK524279 TUK524201:TUK524202 TUK524196:TUK524198 TUK458740:TUK458743 TUK458665:TUK458666 TUK458660:TUK458662 TUK393204:TUK393207 TUK393129:TUK393130 TUK393124:TUK393126 TUK327668:TUK327671 TUK327593:TUK327594 TUK327588:TUK327590 TUK262132:TUK262135 TUK262057:TUK262058 TUK262052:TUK262054 TUK196596:TUK196599 TUK196521:TUK196522 TUK196516:TUK196518 TUK131060:TUK131063 TUK130985:TUK130986 TUK130980:TUK130982 TUK65524:TUK65527 TUK65449:TUK65450 TUK65444:TUK65446 TKO983028:TKO983031 TKO982953:TKO982954 TKO982948:TKO982950 TKO917492:TKO917495 TKO917417:TKO917418 TKO917412:TKO917414 TKO851956:TKO851959 TKO851881:TKO851882 TKO851876:TKO851878 TKO786420:TKO786423 TKO786345:TKO786346 TKO786340:TKO786342 TKO720884:TKO720887 TKO720809:TKO720810 TKO720804:TKO720806 TKO655348:TKO655351 TKO655273:TKO655274 TKO655268:TKO655270 TKO589812:TKO589815 TKO589737:TKO589738 TKO589732:TKO589734 TKO524276:TKO524279 TKO524201:TKO524202 TKO524196:TKO524198 TKO458740:TKO458743 TKO458665:TKO458666 TKO458660:TKO458662 TKO393204:TKO393207 TKO393129:TKO393130 TKO393124:TKO393126 TKO327668:TKO327671 TKO327593:TKO327594 TKO327588:TKO327590 TKO262132:TKO262135 TKO262057:TKO262058 TKO262052:TKO262054 TKO196596:TKO196599 TKO196521:TKO196522 TKO196516:TKO196518 TKO131060:TKO131063 TKO130985:TKO130986 TKO130980:TKO130982 TKO65524:TKO65527 TKO65449:TKO65450 TKO65444:TKO65446 TAS983028:TAS983031 TAS982953:TAS982954 TAS982948:TAS982950 TAS917492:TAS917495 TAS917417:TAS917418 TAS917412:TAS917414 TAS851956:TAS851959 TAS851881:TAS851882 TAS851876:TAS851878 TAS786420:TAS786423 TAS786345:TAS786346 TAS786340:TAS786342 TAS720884:TAS720887 TAS720809:TAS720810 TAS720804:TAS720806 TAS655348:TAS655351 TAS655273:TAS655274 TAS655268:TAS655270 TAS589812:TAS589815 TAS589737:TAS589738 TAS589732:TAS589734 TAS524276:TAS524279 TAS524201:TAS524202 TAS524196:TAS524198 TAS458740:TAS458743 TAS458665:TAS458666 TAS458660:TAS458662 TAS393204:TAS393207 TAS393129:TAS393130 TAS393124:TAS393126 TAS327668:TAS327671 TAS327593:TAS327594 TAS327588:TAS327590 TAS262132:TAS262135 TAS262057:TAS262058 TAS262052:TAS262054 TAS196596:TAS196599 TAS196521:TAS196522 TAS196516:TAS196518 TAS131060:TAS131063 TAS130985:TAS130986 TAS130980:TAS130982 TAS65524:TAS65527 TAS65449:TAS65450 TAS65444:TAS65446 SQW983028:SQW983031 SQW982953:SQW982954 SQW982948:SQW982950 SQW917492:SQW917495 SQW917417:SQW917418 SQW917412:SQW917414 SQW851956:SQW851959 SQW851881:SQW851882 SQW851876:SQW851878 SQW786420:SQW786423 SQW786345:SQW786346 SQW786340:SQW786342 SQW720884:SQW720887 SQW720809:SQW720810 SQW720804:SQW720806 SQW655348:SQW655351 SQW655273:SQW655274 SQW655268:SQW655270 SQW589812:SQW589815 SQW589737:SQW589738 SQW589732:SQW589734 SQW524276:SQW524279 SQW524201:SQW524202 SQW524196:SQW524198 SQW458740:SQW458743 SQW458665:SQW458666 SQW458660:SQW458662 SQW393204:SQW393207 SQW393129:SQW393130 SQW393124:SQW393126 SQW327668:SQW327671 SQW327593:SQW327594 SQW327588:SQW327590 SQW262132:SQW262135 SQW262057:SQW262058 SQW262052:SQW262054 SQW196596:SQW196599 SQW196521:SQW196522 SQW196516:SQW196518 SQW131060:SQW131063 SQW130985:SQW130986 SQW130980:SQW130982 SQW65524:SQW65527 SQW65449:SQW65450 SQW65444:SQW65446 SHA983028:SHA983031 SHA982953:SHA982954 SHA982948:SHA982950 SHA917492:SHA917495 SHA917417:SHA917418 SHA917412:SHA917414 SHA851956:SHA851959 SHA851881:SHA851882 SHA851876:SHA851878 SHA786420:SHA786423 SHA786345:SHA786346 SHA786340:SHA786342 SHA720884:SHA720887 SHA720809:SHA720810 SHA720804:SHA720806 SHA655348:SHA655351 SHA655273:SHA655274 SHA655268:SHA655270 SHA589812:SHA589815 SHA589737:SHA589738 SHA589732:SHA589734 SHA524276:SHA524279 SHA524201:SHA524202 SHA524196:SHA524198 SHA458740:SHA458743 SHA458665:SHA458666 SHA458660:SHA458662 SHA393204:SHA393207 SHA393129:SHA393130 SHA393124:SHA393126 SHA327668:SHA327671 SHA327593:SHA327594 SHA327588:SHA327590 SHA262132:SHA262135 SHA262057:SHA262058 SHA262052:SHA262054 SHA196596:SHA196599 SHA196521:SHA196522 SHA196516:SHA196518 SHA131060:SHA131063 SHA130985:SHA130986 SHA130980:SHA130982 SHA65524:SHA65527 SHA65449:SHA65450 SHA65444:SHA65446 RXE983028:RXE983031 RXE982953:RXE982954 RXE982948:RXE982950 RXE917492:RXE917495 RXE917417:RXE917418 RXE917412:RXE917414 RXE851956:RXE851959 RXE851881:RXE851882 RXE851876:RXE851878 RXE786420:RXE786423 RXE786345:RXE786346 RXE786340:RXE786342 RXE720884:RXE720887 RXE720809:RXE720810 RXE720804:RXE720806 RXE655348:RXE655351 RXE655273:RXE655274 RXE655268:RXE655270 RXE589812:RXE589815 RXE589737:RXE589738 RXE589732:RXE589734 RXE524276:RXE524279 RXE524201:RXE524202 RXE524196:RXE524198 RXE458740:RXE458743 RXE458665:RXE458666 RXE458660:RXE458662 RXE393204:RXE393207 RXE393129:RXE393130 RXE393124:RXE393126 RXE327668:RXE327671 RXE327593:RXE327594 RXE327588:RXE327590 RXE262132:RXE262135 RXE262057:RXE262058 RXE262052:RXE262054 RXE196596:RXE196599 RXE196521:RXE196522 RXE196516:RXE196518 RXE131060:RXE131063 RXE130985:RXE130986 RXE130980:RXE130982 RXE65524:RXE65527 RXE65449:RXE65450 RXE65444:RXE65446 RNI983028:RNI983031 RNI982953:RNI982954 RNI982948:RNI982950 RNI917492:RNI917495 RNI917417:RNI917418 RNI917412:RNI917414 RNI851956:RNI851959 RNI851881:RNI851882 RNI851876:RNI851878 RNI786420:RNI786423 RNI786345:RNI786346 RNI786340:RNI786342 RNI720884:RNI720887 RNI720809:RNI720810 RNI720804:RNI720806 RNI655348:RNI655351 RNI655273:RNI655274 RNI655268:RNI655270 RNI589812:RNI589815 RNI589737:RNI589738 RNI589732:RNI589734 RNI524276:RNI524279 RNI524201:RNI524202 RNI524196:RNI524198 RNI458740:RNI458743 RNI458665:RNI458666 RNI458660:RNI458662 RNI393204:RNI393207 RNI393129:RNI393130 RNI393124:RNI393126 RNI327668:RNI327671 RNI327593:RNI327594 RNI327588:RNI327590 RNI262132:RNI262135 RNI262057:RNI262058 RNI262052:RNI262054 RNI196596:RNI196599 RNI196521:RNI196522 RNI196516:RNI196518 RNI131060:RNI131063 RNI130985:RNI130986 RNI130980:RNI130982 RNI65524:RNI65527 RNI65449:RNI65450 RNI65444:RNI65446 RDM983028:RDM983031 RDM982953:RDM982954 RDM982948:RDM982950 RDM917492:RDM917495 RDM917417:RDM917418 RDM917412:RDM917414 RDM851956:RDM851959 RDM851881:RDM851882 RDM851876:RDM851878 RDM786420:RDM786423 RDM786345:RDM786346 RDM786340:RDM786342 RDM720884:RDM720887 RDM720809:RDM720810 RDM720804:RDM720806 RDM655348:RDM655351 RDM655273:RDM655274 RDM655268:RDM655270 RDM589812:RDM589815 RDM589737:RDM589738 RDM589732:RDM589734 RDM524276:RDM524279 RDM524201:RDM524202 RDM524196:RDM524198 RDM458740:RDM458743 RDM458665:RDM458666 RDM458660:RDM458662 RDM393204:RDM393207 RDM393129:RDM393130 RDM393124:RDM393126 RDM327668:RDM327671 RDM327593:RDM327594 RDM327588:RDM327590 RDM262132:RDM262135 RDM262057:RDM262058 RDM262052:RDM262054 RDM196596:RDM196599 RDM196521:RDM196522 RDM196516:RDM196518 RDM131060:RDM131063 RDM130985:RDM130986 RDM130980:RDM130982 RDM65524:RDM65527 RDM65449:RDM65450 RDM65444:RDM65446 QTQ983028:QTQ983031 QTQ982953:QTQ982954 QTQ982948:QTQ982950 QTQ917492:QTQ917495 QTQ917417:QTQ917418 QTQ917412:QTQ917414 QTQ851956:QTQ851959 QTQ851881:QTQ851882 QTQ851876:QTQ851878 QTQ786420:QTQ786423 QTQ786345:QTQ786346 QTQ786340:QTQ786342 QTQ720884:QTQ720887 QTQ720809:QTQ720810 QTQ720804:QTQ720806 QTQ655348:QTQ655351 QTQ655273:QTQ655274 QTQ655268:QTQ655270 QTQ589812:QTQ589815 QTQ589737:QTQ589738 QTQ589732:QTQ589734 QTQ524276:QTQ524279 QTQ524201:QTQ524202 QTQ524196:QTQ524198 QTQ458740:QTQ458743 QTQ458665:QTQ458666 QTQ458660:QTQ458662 QTQ393204:QTQ393207 QTQ393129:QTQ393130 QTQ393124:QTQ393126 QTQ327668:QTQ327671 QTQ327593:QTQ327594 QTQ327588:QTQ327590 QTQ262132:QTQ262135 QTQ262057:QTQ262058 QTQ262052:QTQ262054 QTQ196596:QTQ196599 QTQ196521:QTQ196522 QTQ196516:QTQ196518 QTQ131060:QTQ131063 QTQ130985:QTQ130986 QTQ130980:QTQ130982 QTQ65524:QTQ65527 QTQ65449:QTQ65450 QTQ65444:QTQ65446 QJU983028:QJU983031 QJU982953:QJU982954 QJU982948:QJU982950 QJU917492:QJU917495 QJU917417:QJU917418 QJU917412:QJU917414 QJU851956:QJU851959 QJU851881:QJU851882 QJU851876:QJU851878 QJU786420:QJU786423 QJU786345:QJU786346 QJU786340:QJU786342 QJU720884:QJU720887 QJU720809:QJU720810 QJU720804:QJU720806 QJU655348:QJU655351 QJU655273:QJU655274 QJU655268:QJU655270 QJU589812:QJU589815 QJU589737:QJU589738 QJU589732:QJU589734 QJU524276:QJU524279 QJU524201:QJU524202 QJU524196:QJU524198 QJU458740:QJU458743 QJU458665:QJU458666 QJU458660:QJU458662 QJU393204:QJU393207 QJU393129:QJU393130 QJU393124:QJU393126 QJU327668:QJU327671 QJU327593:QJU327594 QJU327588:QJU327590 QJU262132:QJU262135 QJU262057:QJU262058 QJU262052:QJU262054 QJU196596:QJU196599 QJU196521:QJU196522 QJU196516:QJU196518 QJU131060:QJU131063 QJU130985:QJU130986 QJU130980:QJU130982 QJU65524:QJU65527 QJU65449:QJU65450 QJU65444:QJU65446 PZY983028:PZY983031 PZY982953:PZY982954 PZY982948:PZY982950 PZY917492:PZY917495 PZY917417:PZY917418 PZY917412:PZY917414 PZY851956:PZY851959 PZY851881:PZY851882 PZY851876:PZY851878 PZY786420:PZY786423 PZY786345:PZY786346 PZY786340:PZY786342 PZY720884:PZY720887 PZY720809:PZY720810 PZY720804:PZY720806 PZY655348:PZY655351 PZY655273:PZY655274 PZY655268:PZY655270 PZY589812:PZY589815 PZY589737:PZY589738 PZY589732:PZY589734 PZY524276:PZY524279 PZY524201:PZY524202 PZY524196:PZY524198 PZY458740:PZY458743 PZY458665:PZY458666 PZY458660:PZY458662 PZY393204:PZY393207 PZY393129:PZY393130 PZY393124:PZY393126 PZY327668:PZY327671 PZY327593:PZY327594 PZY327588:PZY327590 PZY262132:PZY262135 PZY262057:PZY262058 PZY262052:PZY262054 PZY196596:PZY196599 PZY196521:PZY196522 PZY196516:PZY196518 PZY131060:PZY131063 PZY130985:PZY130986 PZY130980:PZY130982 PZY65524:PZY65527 PZY65449:PZY65450 PZY65444:PZY65446 PQC983028:PQC983031 PQC982953:PQC982954 PQC982948:PQC982950 PQC917492:PQC917495 PQC917417:PQC917418 PQC917412:PQC917414 PQC851956:PQC851959 PQC851881:PQC851882 PQC851876:PQC851878 PQC786420:PQC786423 PQC786345:PQC786346 PQC786340:PQC786342 PQC720884:PQC720887 PQC720809:PQC720810 PQC720804:PQC720806 PQC655348:PQC655351 PQC655273:PQC655274 PQC655268:PQC655270 PQC589812:PQC589815 PQC589737:PQC589738 PQC589732:PQC589734 PQC524276:PQC524279 PQC524201:PQC524202 PQC524196:PQC524198 PQC458740:PQC458743 PQC458665:PQC458666 PQC458660:PQC458662 PQC393204:PQC393207 PQC393129:PQC393130 PQC393124:PQC393126 PQC327668:PQC327671 PQC327593:PQC327594 PQC327588:PQC327590 PQC262132:PQC262135 PQC262057:PQC262058 PQC262052:PQC262054 PQC196596:PQC196599 PQC196521:PQC196522 PQC196516:PQC196518 PQC131060:PQC131063 PQC130985:PQC130986 PQC130980:PQC130982 PQC65524:PQC65527 PQC65449:PQC65450 PQC65444:PQC65446 PGG983028:PGG983031 PGG982953:PGG982954 PGG982948:PGG982950 PGG917492:PGG917495 PGG917417:PGG917418 PGG917412:PGG917414 PGG851956:PGG851959 PGG851881:PGG851882 PGG851876:PGG851878 PGG786420:PGG786423 PGG786345:PGG786346 PGG786340:PGG786342 PGG720884:PGG720887 PGG720809:PGG720810 PGG720804:PGG720806 PGG655348:PGG655351 PGG655273:PGG655274 PGG655268:PGG655270 PGG589812:PGG589815 PGG589737:PGG589738 PGG589732:PGG589734 PGG524276:PGG524279 PGG524201:PGG524202 PGG524196:PGG524198 PGG458740:PGG458743 PGG458665:PGG458666 PGG458660:PGG458662 PGG393204:PGG393207 PGG393129:PGG393130 PGG393124:PGG393126 PGG327668:PGG327671 PGG327593:PGG327594 PGG327588:PGG327590 PGG262132:PGG262135 PGG262057:PGG262058 PGG262052:PGG262054 PGG196596:PGG196599 PGG196521:PGG196522 PGG196516:PGG196518 PGG131060:PGG131063 PGG130985:PGG130986 PGG130980:PGG130982 PGG65524:PGG65527 PGG65449:PGG65450 PGG65444:PGG65446 OWK983028:OWK983031 OWK982953:OWK982954 OWK982948:OWK982950 OWK917492:OWK917495 OWK917417:OWK917418 OWK917412:OWK917414 OWK851956:OWK851959 OWK851881:OWK851882 OWK851876:OWK851878 OWK786420:OWK786423 OWK786345:OWK786346 OWK786340:OWK786342 OWK720884:OWK720887 OWK720809:OWK720810 OWK720804:OWK720806 OWK655348:OWK655351 OWK655273:OWK655274 OWK655268:OWK655270 OWK589812:OWK589815 OWK589737:OWK589738 OWK589732:OWK589734 OWK524276:OWK524279 OWK524201:OWK524202 OWK524196:OWK524198 OWK458740:OWK458743 OWK458665:OWK458666 OWK458660:OWK458662 OWK393204:OWK393207 OWK393129:OWK393130 OWK393124:OWK393126 OWK327668:OWK327671 OWK327593:OWK327594 OWK327588:OWK327590 OWK262132:OWK262135 OWK262057:OWK262058 OWK262052:OWK262054 OWK196596:OWK196599 OWK196521:OWK196522 OWK196516:OWK196518 OWK131060:OWK131063 OWK130985:OWK130986 OWK130980:OWK130982 OWK65524:OWK65527 OWK65449:OWK65450 OWK65444:OWK65446 OMO983028:OMO983031 OMO982953:OMO982954 OMO982948:OMO982950 OMO917492:OMO917495 OMO917417:OMO917418 OMO917412:OMO917414 OMO851956:OMO851959 OMO851881:OMO851882 OMO851876:OMO851878 OMO786420:OMO786423 OMO786345:OMO786346 OMO786340:OMO786342 OMO720884:OMO720887 OMO720809:OMO720810 OMO720804:OMO720806 OMO655348:OMO655351 OMO655273:OMO655274 OMO655268:OMO655270 OMO589812:OMO589815 OMO589737:OMO589738 OMO589732:OMO589734 OMO524276:OMO524279 OMO524201:OMO524202 OMO524196:OMO524198 OMO458740:OMO458743 OMO458665:OMO458666 OMO458660:OMO458662 OMO393204:OMO393207 OMO393129:OMO393130 OMO393124:OMO393126 OMO327668:OMO327671 OMO327593:OMO327594 OMO327588:OMO327590 OMO262132:OMO262135 OMO262057:OMO262058 OMO262052:OMO262054 OMO196596:OMO196599 OMO196521:OMO196522 OMO196516:OMO196518 OMO131060:OMO131063 OMO130985:OMO130986 OMO130980:OMO130982 OMO65524:OMO65527 OMO65449:OMO65450 OMO65444:OMO65446 OCS983028:OCS983031 OCS982953:OCS982954 OCS982948:OCS982950 OCS917492:OCS917495 OCS917417:OCS917418 OCS917412:OCS917414 OCS851956:OCS851959 OCS851881:OCS851882 OCS851876:OCS851878 OCS786420:OCS786423 OCS786345:OCS786346 OCS786340:OCS786342 OCS720884:OCS720887 OCS720809:OCS720810 OCS720804:OCS720806 OCS655348:OCS655351 OCS655273:OCS655274 OCS655268:OCS655270 OCS589812:OCS589815 OCS589737:OCS589738 OCS589732:OCS589734 OCS524276:OCS524279 OCS524201:OCS524202 OCS524196:OCS524198 OCS458740:OCS458743 OCS458665:OCS458666 OCS458660:OCS458662 OCS393204:OCS393207 OCS393129:OCS393130 OCS393124:OCS393126 OCS327668:OCS327671 OCS327593:OCS327594 OCS327588:OCS327590 OCS262132:OCS262135 OCS262057:OCS262058 OCS262052:OCS262054 OCS196596:OCS196599 OCS196521:OCS196522 OCS196516:OCS196518 OCS131060:OCS131063 OCS130985:OCS130986 OCS130980:OCS130982 OCS65524:OCS65527 OCS65449:OCS65450 OCS65444:OCS65446 NSW983028:NSW983031 NSW982953:NSW982954 NSW982948:NSW982950 NSW917492:NSW917495 NSW917417:NSW917418 NSW917412:NSW917414 NSW851956:NSW851959 NSW851881:NSW851882 NSW851876:NSW851878 NSW786420:NSW786423 NSW786345:NSW786346 NSW786340:NSW786342 NSW720884:NSW720887 NSW720809:NSW720810 NSW720804:NSW720806 NSW655348:NSW655351 NSW655273:NSW655274 NSW655268:NSW655270 NSW589812:NSW589815 NSW589737:NSW589738 NSW589732:NSW589734 NSW524276:NSW524279 NSW524201:NSW524202 NSW524196:NSW524198 NSW458740:NSW458743 NSW458665:NSW458666 NSW458660:NSW458662 NSW393204:NSW393207 NSW393129:NSW393130 NSW393124:NSW393126 NSW327668:NSW327671 NSW327593:NSW327594 NSW327588:NSW327590 NSW262132:NSW262135 NSW262057:NSW262058 NSW262052:NSW262054 NSW196596:NSW196599 NSW196521:NSW196522 NSW196516:NSW196518 NSW131060:NSW131063 NSW130985:NSW130986 NSW130980:NSW130982 NSW65524:NSW65527 NSW65449:NSW65450 NSW65444:NSW65446 NJA983028:NJA983031 NJA982953:NJA982954 NJA982948:NJA982950 NJA917492:NJA917495 NJA917417:NJA917418 NJA917412:NJA917414 NJA851956:NJA851959 NJA851881:NJA851882 NJA851876:NJA851878 NJA786420:NJA786423 NJA786345:NJA786346 NJA786340:NJA786342 NJA720884:NJA720887 NJA720809:NJA720810 NJA720804:NJA720806 NJA655348:NJA655351 NJA655273:NJA655274 NJA655268:NJA655270 NJA589812:NJA589815 NJA589737:NJA589738 NJA589732:NJA589734 NJA524276:NJA524279 NJA524201:NJA524202 NJA524196:NJA524198 NJA458740:NJA458743 NJA458665:NJA458666 NJA458660:NJA458662 NJA393204:NJA393207 NJA393129:NJA393130 NJA393124:NJA393126 NJA327668:NJA327671 NJA327593:NJA327594 NJA327588:NJA327590 NJA262132:NJA262135 NJA262057:NJA262058 NJA262052:NJA262054 NJA196596:NJA196599 NJA196521:NJA196522 NJA196516:NJA196518 NJA131060:NJA131063 NJA130985:NJA130986 NJA130980:NJA130982 NJA65524:NJA65527 NJA65449:NJA65450 NJA65444:NJA65446 MZE983028:MZE983031 MZE982953:MZE982954 MZE982948:MZE982950 MZE917492:MZE917495 MZE917417:MZE917418 MZE917412:MZE917414 MZE851956:MZE851959 MZE851881:MZE851882 MZE851876:MZE851878 MZE786420:MZE786423 MZE786345:MZE786346 MZE786340:MZE786342 MZE720884:MZE720887 MZE720809:MZE720810 MZE720804:MZE720806 MZE655348:MZE655351 MZE655273:MZE655274 MZE655268:MZE655270 MZE589812:MZE589815 MZE589737:MZE589738 MZE589732:MZE589734 MZE524276:MZE524279 MZE524201:MZE524202 MZE524196:MZE524198 MZE458740:MZE458743 MZE458665:MZE458666 MZE458660:MZE458662 MZE393204:MZE393207 MZE393129:MZE393130 MZE393124:MZE393126 MZE327668:MZE327671 MZE327593:MZE327594 MZE327588:MZE327590 MZE262132:MZE262135 MZE262057:MZE262058 MZE262052:MZE262054 MZE196596:MZE196599 MZE196521:MZE196522 MZE196516:MZE196518 MZE131060:MZE131063 MZE130985:MZE130986 MZE130980:MZE130982 MZE65524:MZE65527 MZE65449:MZE65450 MZE65444:MZE65446 MPI983028:MPI983031 MPI982953:MPI982954 MPI982948:MPI982950 MPI917492:MPI917495 MPI917417:MPI917418 MPI917412:MPI917414 MPI851956:MPI851959 MPI851881:MPI851882 MPI851876:MPI851878 MPI786420:MPI786423 MPI786345:MPI786346 MPI786340:MPI786342 MPI720884:MPI720887 MPI720809:MPI720810 MPI720804:MPI720806 MPI655348:MPI655351 MPI655273:MPI655274 MPI655268:MPI655270 MPI589812:MPI589815 MPI589737:MPI589738 MPI589732:MPI589734 MPI524276:MPI524279 MPI524201:MPI524202 MPI524196:MPI524198 MPI458740:MPI458743 MPI458665:MPI458666 MPI458660:MPI458662 MPI393204:MPI393207 MPI393129:MPI393130 MPI393124:MPI393126 MPI327668:MPI327671 MPI327593:MPI327594 MPI327588:MPI327590 MPI262132:MPI262135 MPI262057:MPI262058 MPI262052:MPI262054 MPI196596:MPI196599 MPI196521:MPI196522 MPI196516:MPI196518 MPI131060:MPI131063 MPI130985:MPI130986 MPI130980:MPI130982 MPI65524:MPI65527 MPI65449:MPI65450 MPI65444:MPI65446 MFM983028:MFM983031 MFM982953:MFM982954 MFM982948:MFM982950 MFM917492:MFM917495 MFM917417:MFM917418 MFM917412:MFM917414 MFM851956:MFM851959 MFM851881:MFM851882 MFM851876:MFM851878 MFM786420:MFM786423 MFM786345:MFM786346 MFM786340:MFM786342 MFM720884:MFM720887 MFM720809:MFM720810 MFM720804:MFM720806 MFM655348:MFM655351 MFM655273:MFM655274 MFM655268:MFM655270 MFM589812:MFM589815 MFM589737:MFM589738 MFM589732:MFM589734 MFM524276:MFM524279 MFM524201:MFM524202 MFM524196:MFM524198 MFM458740:MFM458743 MFM458665:MFM458666 MFM458660:MFM458662 MFM393204:MFM393207 MFM393129:MFM393130 MFM393124:MFM393126 MFM327668:MFM327671 MFM327593:MFM327594 MFM327588:MFM327590 MFM262132:MFM262135 MFM262057:MFM262058 MFM262052:MFM262054 MFM196596:MFM196599 MFM196521:MFM196522 MFM196516:MFM196518 MFM131060:MFM131063 MFM130985:MFM130986 MFM130980:MFM130982 MFM65524:MFM65527 MFM65449:MFM65450 MFM65444:MFM65446 LVQ983028:LVQ983031 LVQ982953:LVQ982954 LVQ982948:LVQ982950 LVQ917492:LVQ917495 LVQ917417:LVQ917418 LVQ917412:LVQ917414 LVQ851956:LVQ851959 LVQ851881:LVQ851882 LVQ851876:LVQ851878 LVQ786420:LVQ786423 LVQ786345:LVQ786346 LVQ786340:LVQ786342 LVQ720884:LVQ720887 LVQ720809:LVQ720810 LVQ720804:LVQ720806 LVQ655348:LVQ655351 LVQ655273:LVQ655274 LVQ655268:LVQ655270 LVQ589812:LVQ589815 LVQ589737:LVQ589738 LVQ589732:LVQ589734 LVQ524276:LVQ524279 LVQ524201:LVQ524202 LVQ524196:LVQ524198 LVQ458740:LVQ458743 LVQ458665:LVQ458666 LVQ458660:LVQ458662 LVQ393204:LVQ393207 LVQ393129:LVQ393130 LVQ393124:LVQ393126 LVQ327668:LVQ327671 LVQ327593:LVQ327594 LVQ327588:LVQ327590 LVQ262132:LVQ262135 LVQ262057:LVQ262058 LVQ262052:LVQ262054 LVQ196596:LVQ196599 LVQ196521:LVQ196522 LVQ196516:LVQ196518 LVQ131060:LVQ131063 LVQ130985:LVQ130986 LVQ130980:LVQ130982 LVQ65524:LVQ65527 LVQ65449:LVQ65450 LVQ65444:LVQ65446 LLU983028:LLU983031 LLU982953:LLU982954 LLU982948:LLU982950 LLU917492:LLU917495 LLU917417:LLU917418 LLU917412:LLU917414 LLU851956:LLU851959 LLU851881:LLU851882 LLU851876:LLU851878 LLU786420:LLU786423 LLU786345:LLU786346 LLU786340:LLU786342 LLU720884:LLU720887 LLU720809:LLU720810 LLU720804:LLU720806 LLU655348:LLU655351 LLU655273:LLU655274 LLU655268:LLU655270 LLU589812:LLU589815 LLU589737:LLU589738 LLU589732:LLU589734 LLU524276:LLU524279 LLU524201:LLU524202 LLU524196:LLU524198 LLU458740:LLU458743 LLU458665:LLU458666 LLU458660:LLU458662 LLU393204:LLU393207 LLU393129:LLU393130 LLU393124:LLU393126 LLU327668:LLU327671 LLU327593:LLU327594 LLU327588:LLU327590 LLU262132:LLU262135 LLU262057:LLU262058 LLU262052:LLU262054 LLU196596:LLU196599 LLU196521:LLU196522 LLU196516:LLU196518 LLU131060:LLU131063 LLU130985:LLU130986 LLU130980:LLU130982 LLU65524:LLU65527 LLU65449:LLU65450 LLU65444:LLU65446 LBY983028:LBY983031 LBY982953:LBY982954 LBY982948:LBY982950 LBY917492:LBY917495 LBY917417:LBY917418 LBY917412:LBY917414 LBY851956:LBY851959 LBY851881:LBY851882 LBY851876:LBY851878 LBY786420:LBY786423 LBY786345:LBY786346 LBY786340:LBY786342 LBY720884:LBY720887 LBY720809:LBY720810 LBY720804:LBY720806 LBY655348:LBY655351 LBY655273:LBY655274 LBY655268:LBY655270 LBY589812:LBY589815 LBY589737:LBY589738 LBY589732:LBY589734 LBY524276:LBY524279 LBY524201:LBY524202 LBY524196:LBY524198 LBY458740:LBY458743 LBY458665:LBY458666 LBY458660:LBY458662 LBY393204:LBY393207 LBY393129:LBY393130 LBY393124:LBY393126 LBY327668:LBY327671 LBY327593:LBY327594 LBY327588:LBY327590 LBY262132:LBY262135 LBY262057:LBY262058 LBY262052:LBY262054 LBY196596:LBY196599 LBY196521:LBY196522 LBY196516:LBY196518 LBY131060:LBY131063 LBY130985:LBY130986 LBY130980:LBY130982 LBY65524:LBY65527 LBY65449:LBY65450 LBY65444:LBY65446 KSC983028:KSC983031 KSC982953:KSC982954 KSC982948:KSC982950 KSC917492:KSC917495 KSC917417:KSC917418 KSC917412:KSC917414 KSC851956:KSC851959 KSC851881:KSC851882 KSC851876:KSC851878 KSC786420:KSC786423 KSC786345:KSC786346 KSC786340:KSC786342 KSC720884:KSC720887 KSC720809:KSC720810 KSC720804:KSC720806 KSC655348:KSC655351 KSC655273:KSC655274 KSC655268:KSC655270 KSC589812:KSC589815 KSC589737:KSC589738 KSC589732:KSC589734 KSC524276:KSC524279 KSC524201:KSC524202 KSC524196:KSC524198 KSC458740:KSC458743 KSC458665:KSC458666 KSC458660:KSC458662 KSC393204:KSC393207 KSC393129:KSC393130 KSC393124:KSC393126 KSC327668:KSC327671 KSC327593:KSC327594 KSC327588:KSC327590 KSC262132:KSC262135 KSC262057:KSC262058 KSC262052:KSC262054 KSC196596:KSC196599 KSC196521:KSC196522 KSC196516:KSC196518 KSC131060:KSC131063 KSC130985:KSC130986 KSC130980:KSC130982 KSC65524:KSC65527 KSC65449:KSC65450 KSC65444:KSC65446 KIG983028:KIG983031 KIG982953:KIG982954 KIG982948:KIG982950 KIG917492:KIG917495 KIG917417:KIG917418 KIG917412:KIG917414 KIG851956:KIG851959 KIG851881:KIG851882 KIG851876:KIG851878 KIG786420:KIG786423 KIG786345:KIG786346 KIG786340:KIG786342 KIG720884:KIG720887 KIG720809:KIG720810 KIG720804:KIG720806 KIG655348:KIG655351 KIG655273:KIG655274 KIG655268:KIG655270 KIG589812:KIG589815 KIG589737:KIG589738 KIG589732:KIG589734 KIG524276:KIG524279 KIG524201:KIG524202 KIG524196:KIG524198 KIG458740:KIG458743 KIG458665:KIG458666 KIG458660:KIG458662 KIG393204:KIG393207 KIG393129:KIG393130 KIG393124:KIG393126 KIG327668:KIG327671 KIG327593:KIG327594 KIG327588:KIG327590 KIG262132:KIG262135 KIG262057:KIG262058 KIG262052:KIG262054 KIG196596:KIG196599 KIG196521:KIG196522 KIG196516:KIG196518 KIG131060:KIG131063 KIG130985:KIG130986 KIG130980:KIG130982 KIG65524:KIG65527 KIG65449:KIG65450 KIG65444:KIG65446 JYK983028:JYK983031 JYK982953:JYK982954 JYK982948:JYK982950 JYK917492:JYK917495 JYK917417:JYK917418 JYK917412:JYK917414 JYK851956:JYK851959 JYK851881:JYK851882 JYK851876:JYK851878 JYK786420:JYK786423 JYK786345:JYK786346 JYK786340:JYK786342 JYK720884:JYK720887 JYK720809:JYK720810 JYK720804:JYK720806 JYK655348:JYK655351 JYK655273:JYK655274 JYK655268:JYK655270 JYK589812:JYK589815 JYK589737:JYK589738 JYK589732:JYK589734 JYK524276:JYK524279 JYK524201:JYK524202 JYK524196:JYK524198 JYK458740:JYK458743 JYK458665:JYK458666 JYK458660:JYK458662 JYK393204:JYK393207 JYK393129:JYK393130 JYK393124:JYK393126 JYK327668:JYK327671 JYK327593:JYK327594 JYK327588:JYK327590 JYK262132:JYK262135 JYK262057:JYK262058 JYK262052:JYK262054 JYK196596:JYK196599 JYK196521:JYK196522 JYK196516:JYK196518 JYK131060:JYK131063 JYK130985:JYK130986 JYK130980:JYK130982 JYK65524:JYK65527 JYK65449:JYK65450 JYK65444:JYK65446 JOO983028:JOO983031 JOO982953:JOO982954 JOO982948:JOO982950 JOO917492:JOO917495 JOO917417:JOO917418 JOO917412:JOO917414 JOO851956:JOO851959 JOO851881:JOO851882 JOO851876:JOO851878 JOO786420:JOO786423 JOO786345:JOO786346 JOO786340:JOO786342 JOO720884:JOO720887 JOO720809:JOO720810 JOO720804:JOO720806 JOO655348:JOO655351 JOO655273:JOO655274 JOO655268:JOO655270 JOO589812:JOO589815 JOO589737:JOO589738 JOO589732:JOO589734 JOO524276:JOO524279 JOO524201:JOO524202 JOO524196:JOO524198 JOO458740:JOO458743 JOO458665:JOO458666 JOO458660:JOO458662 JOO393204:JOO393207 JOO393129:JOO393130 JOO393124:JOO393126 JOO327668:JOO327671 JOO327593:JOO327594 JOO327588:JOO327590 JOO262132:JOO262135 JOO262057:JOO262058 JOO262052:JOO262054 JOO196596:JOO196599 JOO196521:JOO196522 JOO196516:JOO196518 JOO131060:JOO131063 JOO130985:JOO130986 JOO130980:JOO130982 JOO65524:JOO65527 JOO65449:JOO65450 JOO65444:JOO65446 JES983028:JES983031 JES982953:JES982954 JES982948:JES982950 JES917492:JES917495 JES917417:JES917418 JES917412:JES917414 JES851956:JES851959 JES851881:JES851882 JES851876:JES851878 JES786420:JES786423 JES786345:JES786346 JES786340:JES786342 JES720884:JES720887 JES720809:JES720810 JES720804:JES720806 JES655348:JES655351 JES655273:JES655274 JES655268:JES655270 JES589812:JES589815 JES589737:JES589738 JES589732:JES589734 JES524276:JES524279 JES524201:JES524202 JES524196:JES524198 JES458740:JES458743 JES458665:JES458666 JES458660:JES458662 JES393204:JES393207 JES393129:JES393130 JES393124:JES393126 JES327668:JES327671 JES327593:JES327594 JES327588:JES327590 JES262132:JES262135 JES262057:JES262058 JES262052:JES262054 JES196596:JES196599 JES196521:JES196522 JES196516:JES196518 JES131060:JES131063 JES130985:JES130986 JES130980:JES130982 JES65524:JES65527 JES65449:JES65450 JES65444:JES65446 IUW983028:IUW983031 IUW982953:IUW982954 IUW982948:IUW982950 IUW917492:IUW917495 IUW917417:IUW917418 IUW917412:IUW917414 IUW851956:IUW851959 IUW851881:IUW851882 IUW851876:IUW851878 IUW786420:IUW786423 IUW786345:IUW786346 IUW786340:IUW786342 IUW720884:IUW720887 IUW720809:IUW720810 IUW720804:IUW720806 IUW655348:IUW655351 IUW655273:IUW655274 IUW655268:IUW655270 IUW589812:IUW589815 IUW589737:IUW589738 IUW589732:IUW589734 IUW524276:IUW524279 IUW524201:IUW524202 IUW524196:IUW524198 IUW458740:IUW458743 IUW458665:IUW458666 IUW458660:IUW458662 IUW393204:IUW393207 IUW393129:IUW393130 IUW393124:IUW393126 IUW327668:IUW327671 IUW327593:IUW327594 IUW327588:IUW327590 IUW262132:IUW262135 IUW262057:IUW262058 IUW262052:IUW262054 IUW196596:IUW196599 IUW196521:IUW196522 IUW196516:IUW196518 IUW131060:IUW131063 IUW130985:IUW130986 IUW130980:IUW130982 IUW65524:IUW65527 IUW65449:IUW65450 IUW65444:IUW65446 ILA983028:ILA983031 ILA982953:ILA982954 ILA982948:ILA982950 ILA917492:ILA917495 ILA917417:ILA917418 ILA917412:ILA917414 ILA851956:ILA851959 ILA851881:ILA851882 ILA851876:ILA851878 ILA786420:ILA786423 ILA786345:ILA786346 ILA786340:ILA786342 ILA720884:ILA720887 ILA720809:ILA720810 ILA720804:ILA720806 ILA655348:ILA655351 ILA655273:ILA655274 ILA655268:ILA655270 ILA589812:ILA589815 ILA589737:ILA589738 ILA589732:ILA589734 ILA524276:ILA524279 ILA524201:ILA524202 ILA524196:ILA524198 ILA458740:ILA458743 ILA458665:ILA458666 ILA458660:ILA458662 ILA393204:ILA393207 ILA393129:ILA393130 ILA393124:ILA393126 ILA327668:ILA327671 ILA327593:ILA327594 ILA327588:ILA327590 ILA262132:ILA262135 ILA262057:ILA262058 ILA262052:ILA262054 ILA196596:ILA196599 ILA196521:ILA196522 ILA196516:ILA196518 ILA131060:ILA131063 ILA130985:ILA130986 ILA130980:ILA130982 ILA65524:ILA65527 ILA65449:ILA65450 ILA65444:ILA65446 IBE983028:IBE983031 IBE982953:IBE982954 IBE982948:IBE982950 IBE917492:IBE917495 IBE917417:IBE917418 IBE917412:IBE917414 IBE851956:IBE851959 IBE851881:IBE851882 IBE851876:IBE851878 IBE786420:IBE786423 IBE786345:IBE786346 IBE786340:IBE786342 IBE720884:IBE720887 IBE720809:IBE720810 IBE720804:IBE720806 IBE655348:IBE655351 IBE655273:IBE655274 IBE655268:IBE655270 IBE589812:IBE589815 IBE589737:IBE589738 IBE589732:IBE589734 IBE524276:IBE524279 IBE524201:IBE524202 IBE524196:IBE524198 IBE458740:IBE458743 IBE458665:IBE458666 IBE458660:IBE458662 IBE393204:IBE393207 IBE393129:IBE393130 IBE393124:IBE393126 IBE327668:IBE327671 IBE327593:IBE327594 IBE327588:IBE327590 IBE262132:IBE262135 IBE262057:IBE262058 IBE262052:IBE262054 IBE196596:IBE196599 IBE196521:IBE196522 IBE196516:IBE196518 IBE131060:IBE131063 IBE130985:IBE130986 IBE130980:IBE130982 IBE65524:IBE65527 IBE65449:IBE65450 IBE65444:IBE65446 HRI983028:HRI983031 HRI982953:HRI982954 HRI982948:HRI982950 HRI917492:HRI917495 HRI917417:HRI917418 HRI917412:HRI917414 HRI851956:HRI851959 HRI851881:HRI851882 HRI851876:HRI851878 HRI786420:HRI786423 HRI786345:HRI786346 HRI786340:HRI786342 HRI720884:HRI720887 HRI720809:HRI720810 HRI720804:HRI720806 HRI655348:HRI655351 HRI655273:HRI655274 HRI655268:HRI655270 HRI589812:HRI589815 HRI589737:HRI589738 HRI589732:HRI589734 HRI524276:HRI524279 HRI524201:HRI524202 HRI524196:HRI524198 HRI458740:HRI458743 HRI458665:HRI458666 HRI458660:HRI458662 HRI393204:HRI393207 HRI393129:HRI393130 HRI393124:HRI393126 HRI327668:HRI327671 HRI327593:HRI327594 HRI327588:HRI327590 HRI262132:HRI262135 HRI262057:HRI262058 HRI262052:HRI262054 HRI196596:HRI196599 HRI196521:HRI196522 HRI196516:HRI196518 HRI131060:HRI131063 HRI130985:HRI130986 HRI130980:HRI130982 HRI65524:HRI65527 HRI65449:HRI65450 HRI65444:HRI65446 HHM983028:HHM983031 HHM982953:HHM982954 HHM982948:HHM982950 HHM917492:HHM917495 HHM917417:HHM917418 HHM917412:HHM917414 HHM851956:HHM851959 HHM851881:HHM851882 HHM851876:HHM851878 HHM786420:HHM786423 HHM786345:HHM786346 HHM786340:HHM786342 HHM720884:HHM720887 HHM720809:HHM720810 HHM720804:HHM720806 HHM655348:HHM655351 HHM655273:HHM655274 HHM655268:HHM655270 HHM589812:HHM589815 HHM589737:HHM589738 HHM589732:HHM589734 HHM524276:HHM524279 HHM524201:HHM524202 HHM524196:HHM524198 HHM458740:HHM458743 HHM458665:HHM458666 HHM458660:HHM458662 HHM393204:HHM393207 HHM393129:HHM393130 HHM393124:HHM393126 HHM327668:HHM327671 HHM327593:HHM327594 HHM327588:HHM327590 HHM262132:HHM262135 HHM262057:HHM262058 HHM262052:HHM262054 HHM196596:HHM196599 HHM196521:HHM196522 HHM196516:HHM196518 HHM131060:HHM131063 HHM130985:HHM130986 HHM130980:HHM130982 HHM65524:HHM65527 HHM65449:HHM65450 HHM65444:HHM65446 GXQ983028:GXQ983031 GXQ982953:GXQ982954 GXQ982948:GXQ982950 GXQ917492:GXQ917495 GXQ917417:GXQ917418 GXQ917412:GXQ917414 GXQ851956:GXQ851959 GXQ851881:GXQ851882 GXQ851876:GXQ851878 GXQ786420:GXQ786423 GXQ786345:GXQ786346 GXQ786340:GXQ786342 GXQ720884:GXQ720887 GXQ720809:GXQ720810 GXQ720804:GXQ720806 GXQ655348:GXQ655351 GXQ655273:GXQ655274 GXQ655268:GXQ655270 GXQ589812:GXQ589815 GXQ589737:GXQ589738 GXQ589732:GXQ589734 GXQ524276:GXQ524279 GXQ524201:GXQ524202 GXQ524196:GXQ524198 GXQ458740:GXQ458743 GXQ458665:GXQ458666 GXQ458660:GXQ458662 GXQ393204:GXQ393207 GXQ393129:GXQ393130 GXQ393124:GXQ393126 GXQ327668:GXQ327671 GXQ327593:GXQ327594 GXQ327588:GXQ327590 GXQ262132:GXQ262135 GXQ262057:GXQ262058 GXQ262052:GXQ262054 GXQ196596:GXQ196599 GXQ196521:GXQ196522 GXQ196516:GXQ196518 GXQ131060:GXQ131063 GXQ130985:GXQ130986 GXQ130980:GXQ130982 GXQ65524:GXQ65527 GXQ65449:GXQ65450 GXQ65444:GXQ65446 GNU983028:GNU983031 GNU982953:GNU982954 GNU982948:GNU982950 GNU917492:GNU917495 GNU917417:GNU917418 GNU917412:GNU917414 GNU851956:GNU851959 GNU851881:GNU851882 GNU851876:GNU851878 GNU786420:GNU786423 GNU786345:GNU786346 GNU786340:GNU786342 GNU720884:GNU720887 GNU720809:GNU720810 GNU720804:GNU720806 GNU655348:GNU655351 GNU655273:GNU655274 GNU655268:GNU655270 GNU589812:GNU589815 GNU589737:GNU589738 GNU589732:GNU589734 GNU524276:GNU524279 GNU524201:GNU524202 GNU524196:GNU524198 GNU458740:GNU458743 GNU458665:GNU458666 GNU458660:GNU458662 GNU393204:GNU393207 GNU393129:GNU393130 GNU393124:GNU393126 GNU327668:GNU327671 GNU327593:GNU327594 GNU327588:GNU327590 GNU262132:GNU262135 GNU262057:GNU262058 GNU262052:GNU262054 GNU196596:GNU196599 GNU196521:GNU196522 GNU196516:GNU196518 GNU131060:GNU131063 GNU130985:GNU130986 GNU130980:GNU130982 GNU65524:GNU65527 GNU65449:GNU65450 GNU65444:GNU65446 GDY983028:GDY983031 GDY982953:GDY982954 GDY982948:GDY982950 GDY917492:GDY917495 GDY917417:GDY917418 GDY917412:GDY917414 GDY851956:GDY851959 GDY851881:GDY851882 GDY851876:GDY851878 GDY786420:GDY786423 GDY786345:GDY786346 GDY786340:GDY786342 GDY720884:GDY720887 GDY720809:GDY720810 GDY720804:GDY720806 GDY655348:GDY655351 GDY655273:GDY655274 GDY655268:GDY655270 GDY589812:GDY589815 GDY589737:GDY589738 GDY589732:GDY589734 GDY524276:GDY524279 GDY524201:GDY524202 GDY524196:GDY524198 GDY458740:GDY458743 GDY458665:GDY458666 GDY458660:GDY458662 GDY393204:GDY393207 GDY393129:GDY393130 GDY393124:GDY393126 GDY327668:GDY327671 GDY327593:GDY327594 GDY327588:GDY327590 GDY262132:GDY262135 GDY262057:GDY262058 GDY262052:GDY262054 GDY196596:GDY196599 GDY196521:GDY196522 GDY196516:GDY196518 GDY131060:GDY131063 GDY130985:GDY130986 GDY130980:GDY130982 GDY65524:GDY65527 GDY65449:GDY65450 GDY65444:GDY65446 FUC983028:FUC983031 FUC982953:FUC982954 FUC982948:FUC982950 FUC917492:FUC917495 FUC917417:FUC917418 FUC917412:FUC917414 FUC851956:FUC851959 FUC851881:FUC851882 FUC851876:FUC851878 FUC786420:FUC786423 FUC786345:FUC786346 FUC786340:FUC786342 FUC720884:FUC720887 FUC720809:FUC720810 FUC720804:FUC720806 FUC655348:FUC655351 FUC655273:FUC655274 FUC655268:FUC655270 FUC589812:FUC589815 FUC589737:FUC589738 FUC589732:FUC589734 FUC524276:FUC524279 FUC524201:FUC524202 FUC524196:FUC524198 FUC458740:FUC458743 FUC458665:FUC458666 FUC458660:FUC458662 FUC393204:FUC393207 FUC393129:FUC393130 FUC393124:FUC393126 FUC327668:FUC327671 FUC327593:FUC327594 FUC327588:FUC327590 FUC262132:FUC262135 FUC262057:FUC262058 FUC262052:FUC262054 FUC196596:FUC196599 FUC196521:FUC196522 FUC196516:FUC196518 FUC131060:FUC131063 FUC130985:FUC130986 FUC130980:FUC130982 FUC65524:FUC65527 FUC65449:FUC65450 FUC65444:FUC65446 FKG983028:FKG983031 FKG982953:FKG982954 FKG982948:FKG982950 FKG917492:FKG917495 FKG917417:FKG917418 FKG917412:FKG917414 FKG851956:FKG851959 FKG851881:FKG851882 FKG851876:FKG851878 FKG786420:FKG786423 FKG786345:FKG786346 FKG786340:FKG786342 FKG720884:FKG720887 FKG720809:FKG720810 FKG720804:FKG720806 FKG655348:FKG655351 FKG655273:FKG655274 FKG655268:FKG655270 FKG589812:FKG589815 FKG589737:FKG589738 FKG589732:FKG589734 FKG524276:FKG524279 FKG524201:FKG524202 FKG524196:FKG524198 FKG458740:FKG458743 FKG458665:FKG458666 FKG458660:FKG458662 FKG393204:FKG393207 FKG393129:FKG393130 FKG393124:FKG393126 FKG327668:FKG327671 FKG327593:FKG327594 FKG327588:FKG327590 FKG262132:FKG262135 FKG262057:FKG262058 FKG262052:FKG262054 FKG196596:FKG196599 FKG196521:FKG196522 FKG196516:FKG196518 FKG131060:FKG131063 FKG130985:FKG130986 FKG130980:FKG130982 FKG65524:FKG65527 FKG65449:FKG65450 FKG65444:FKG65446 FAK983028:FAK983031 FAK982953:FAK982954 FAK982948:FAK982950 FAK917492:FAK917495 FAK917417:FAK917418 FAK917412:FAK917414 FAK851956:FAK851959 FAK851881:FAK851882 FAK851876:FAK851878 FAK786420:FAK786423 FAK786345:FAK786346 FAK786340:FAK786342 FAK720884:FAK720887 FAK720809:FAK720810 FAK720804:FAK720806 FAK655348:FAK655351 FAK655273:FAK655274 FAK655268:FAK655270 FAK589812:FAK589815 FAK589737:FAK589738 FAK589732:FAK589734 FAK524276:FAK524279 FAK524201:FAK524202 FAK524196:FAK524198 FAK458740:FAK458743 FAK458665:FAK458666 FAK458660:FAK458662 FAK393204:FAK393207 FAK393129:FAK393130 FAK393124:FAK393126 FAK327668:FAK327671 FAK327593:FAK327594 FAK327588:FAK327590 FAK262132:FAK262135 FAK262057:FAK262058 FAK262052:FAK262054 FAK196596:FAK196599 FAK196521:FAK196522 FAK196516:FAK196518 FAK131060:FAK131063 FAK130985:FAK130986 FAK130980:FAK130982 FAK65524:FAK65527 FAK65449:FAK65450 FAK65444:FAK65446 EQO983028:EQO983031 EQO982953:EQO982954 EQO982948:EQO982950 EQO917492:EQO917495 EQO917417:EQO917418 EQO917412:EQO917414 EQO851956:EQO851959 EQO851881:EQO851882 EQO851876:EQO851878 EQO786420:EQO786423 EQO786345:EQO786346 EQO786340:EQO786342 EQO720884:EQO720887 EQO720809:EQO720810 EQO720804:EQO720806 EQO655348:EQO655351 EQO655273:EQO655274 EQO655268:EQO655270 EQO589812:EQO589815 EQO589737:EQO589738 EQO589732:EQO589734 EQO524276:EQO524279 EQO524201:EQO524202 EQO524196:EQO524198 EQO458740:EQO458743 EQO458665:EQO458666 EQO458660:EQO458662 EQO393204:EQO393207 EQO393129:EQO393130 EQO393124:EQO393126 EQO327668:EQO327671 EQO327593:EQO327594 EQO327588:EQO327590 EQO262132:EQO262135 EQO262057:EQO262058 EQO262052:EQO262054 EQO196596:EQO196599 EQO196521:EQO196522 EQO196516:EQO196518 EQO131060:EQO131063 EQO130985:EQO130986 EQO130980:EQO130982 EQO65524:EQO65527 EQO65449:EQO65450 EQO65444:EQO65446 EGS983028:EGS983031 EGS982953:EGS982954 EGS982948:EGS982950 EGS917492:EGS917495 EGS917417:EGS917418 EGS917412:EGS917414 EGS851956:EGS851959 EGS851881:EGS851882 EGS851876:EGS851878 EGS786420:EGS786423 EGS786345:EGS786346 EGS786340:EGS786342 EGS720884:EGS720887 EGS720809:EGS720810 EGS720804:EGS720806 EGS655348:EGS655351 EGS655273:EGS655274 EGS655268:EGS655270 EGS589812:EGS589815 EGS589737:EGS589738 EGS589732:EGS589734 EGS524276:EGS524279 EGS524201:EGS524202 EGS524196:EGS524198 EGS458740:EGS458743 EGS458665:EGS458666 EGS458660:EGS458662 EGS393204:EGS393207 EGS393129:EGS393130 EGS393124:EGS393126 EGS327668:EGS327671 EGS327593:EGS327594 EGS327588:EGS327590 EGS262132:EGS262135 EGS262057:EGS262058 EGS262052:EGS262054 EGS196596:EGS196599 EGS196521:EGS196522 EGS196516:EGS196518 EGS131060:EGS131063 EGS130985:EGS130986 EGS130980:EGS130982 EGS65524:EGS65527 EGS65449:EGS65450 EGS65444:EGS65446 DWW983028:DWW983031 DWW982953:DWW982954 DWW982948:DWW982950 DWW917492:DWW917495 DWW917417:DWW917418 DWW917412:DWW917414 DWW851956:DWW851959 DWW851881:DWW851882 DWW851876:DWW851878 DWW786420:DWW786423 DWW786345:DWW786346 DWW786340:DWW786342 DWW720884:DWW720887 DWW720809:DWW720810 DWW720804:DWW720806 DWW655348:DWW655351 DWW655273:DWW655274 DWW655268:DWW655270 DWW589812:DWW589815 DWW589737:DWW589738 DWW589732:DWW589734 DWW524276:DWW524279 DWW524201:DWW524202 DWW524196:DWW524198 DWW458740:DWW458743 DWW458665:DWW458666 DWW458660:DWW458662 DWW393204:DWW393207 DWW393129:DWW393130 DWW393124:DWW393126 DWW327668:DWW327671 DWW327593:DWW327594 DWW327588:DWW327590 DWW262132:DWW262135 DWW262057:DWW262058 DWW262052:DWW262054 DWW196596:DWW196599 DWW196521:DWW196522 DWW196516:DWW196518 DWW131060:DWW131063 DWW130985:DWW130986 DWW130980:DWW130982 DWW65524:DWW65527 DWW65449:DWW65450 DWW65444:DWW65446 DNA983028:DNA983031 DNA982953:DNA982954 DNA982948:DNA982950 DNA917492:DNA917495 DNA917417:DNA917418 DNA917412:DNA917414 DNA851956:DNA851959 DNA851881:DNA851882 DNA851876:DNA851878 DNA786420:DNA786423 DNA786345:DNA786346 DNA786340:DNA786342 DNA720884:DNA720887 DNA720809:DNA720810 DNA720804:DNA720806 DNA655348:DNA655351 DNA655273:DNA655274 DNA655268:DNA655270 DNA589812:DNA589815 DNA589737:DNA589738 DNA589732:DNA589734 DNA524276:DNA524279 DNA524201:DNA524202 DNA524196:DNA524198 DNA458740:DNA458743 DNA458665:DNA458666 DNA458660:DNA458662 DNA393204:DNA393207 DNA393129:DNA393130 DNA393124:DNA393126 DNA327668:DNA327671 DNA327593:DNA327594 DNA327588:DNA327590 DNA262132:DNA262135 DNA262057:DNA262058 DNA262052:DNA262054 DNA196596:DNA196599 DNA196521:DNA196522 DNA196516:DNA196518 DNA131060:DNA131063 DNA130985:DNA130986 DNA130980:DNA130982 DNA65524:DNA65527 DNA65449:DNA65450 DNA65444:DNA65446 DDE983028:DDE983031 DDE982953:DDE982954 DDE982948:DDE982950 DDE917492:DDE917495 DDE917417:DDE917418 DDE917412:DDE917414 DDE851956:DDE851959 DDE851881:DDE851882 DDE851876:DDE851878 DDE786420:DDE786423 DDE786345:DDE786346 DDE786340:DDE786342 DDE720884:DDE720887 DDE720809:DDE720810 DDE720804:DDE720806 DDE655348:DDE655351 DDE655273:DDE655274 DDE655268:DDE655270 DDE589812:DDE589815 DDE589737:DDE589738 DDE589732:DDE589734 DDE524276:DDE524279 DDE524201:DDE524202 DDE524196:DDE524198 DDE458740:DDE458743 DDE458665:DDE458666 DDE458660:DDE458662 DDE393204:DDE393207 DDE393129:DDE393130 DDE393124:DDE393126 DDE327668:DDE327671 DDE327593:DDE327594 DDE327588:DDE327590 DDE262132:DDE262135 DDE262057:DDE262058 DDE262052:DDE262054 DDE196596:DDE196599 DDE196521:DDE196522 DDE196516:DDE196518 DDE131060:DDE131063 DDE130985:DDE130986 DDE130980:DDE130982 DDE65524:DDE65527 DDE65449:DDE65450 DDE65444:DDE65446 CTI983028:CTI983031 CTI982953:CTI982954 CTI982948:CTI982950 CTI917492:CTI917495 CTI917417:CTI917418 CTI917412:CTI917414 CTI851956:CTI851959 CTI851881:CTI851882 CTI851876:CTI851878 CTI786420:CTI786423 CTI786345:CTI786346 CTI786340:CTI786342 CTI720884:CTI720887 CTI720809:CTI720810 CTI720804:CTI720806 CTI655348:CTI655351 CTI655273:CTI655274 CTI655268:CTI655270 CTI589812:CTI589815 CTI589737:CTI589738 CTI589732:CTI589734 CTI524276:CTI524279 CTI524201:CTI524202 CTI524196:CTI524198 CTI458740:CTI458743 CTI458665:CTI458666 CTI458660:CTI458662 CTI393204:CTI393207 CTI393129:CTI393130 CTI393124:CTI393126 CTI327668:CTI327671 CTI327593:CTI327594 CTI327588:CTI327590 CTI262132:CTI262135 CTI262057:CTI262058 CTI262052:CTI262054 CTI196596:CTI196599 CTI196521:CTI196522 CTI196516:CTI196518 CTI131060:CTI131063 CTI130985:CTI130986 CTI130980:CTI130982 CTI65524:CTI65527 CTI65449:CTI65450 CTI65444:CTI65446 CJM983028:CJM983031 CJM982953:CJM982954 CJM982948:CJM982950 CJM917492:CJM917495 CJM917417:CJM917418 CJM917412:CJM917414 CJM851956:CJM851959 CJM851881:CJM851882 CJM851876:CJM851878 CJM786420:CJM786423 CJM786345:CJM786346 CJM786340:CJM786342 CJM720884:CJM720887 CJM720809:CJM720810 CJM720804:CJM720806 CJM655348:CJM655351 CJM655273:CJM655274 CJM655268:CJM655270 CJM589812:CJM589815 CJM589737:CJM589738 CJM589732:CJM589734 CJM524276:CJM524279 CJM524201:CJM524202 CJM524196:CJM524198 CJM458740:CJM458743 CJM458665:CJM458666 CJM458660:CJM458662 CJM393204:CJM393207 CJM393129:CJM393130 CJM393124:CJM393126 CJM327668:CJM327671 CJM327593:CJM327594 CJM327588:CJM327590 CJM262132:CJM262135 CJM262057:CJM262058 CJM262052:CJM262054 CJM196596:CJM196599 CJM196521:CJM196522 CJM196516:CJM196518 CJM131060:CJM131063 CJM130985:CJM130986 CJM130980:CJM130982 CJM65524:CJM65527 CJM65449:CJM65450 CJM65444:CJM65446 BZQ983028:BZQ983031 BZQ982953:BZQ982954 BZQ982948:BZQ982950 BZQ917492:BZQ917495 BZQ917417:BZQ917418 BZQ917412:BZQ917414 BZQ851956:BZQ851959 BZQ851881:BZQ851882 BZQ851876:BZQ851878 BZQ786420:BZQ786423 BZQ786345:BZQ786346 BZQ786340:BZQ786342 BZQ720884:BZQ720887 BZQ720809:BZQ720810 BZQ720804:BZQ720806 BZQ655348:BZQ655351 BZQ655273:BZQ655274 BZQ655268:BZQ655270 BZQ589812:BZQ589815 BZQ589737:BZQ589738 BZQ589732:BZQ589734 BZQ524276:BZQ524279 BZQ524201:BZQ524202 BZQ524196:BZQ524198 BZQ458740:BZQ458743 BZQ458665:BZQ458666 BZQ458660:BZQ458662 BZQ393204:BZQ393207 BZQ393129:BZQ393130 BZQ393124:BZQ393126 BZQ327668:BZQ327671 BZQ327593:BZQ327594 BZQ327588:BZQ327590 BZQ262132:BZQ262135 BZQ262057:BZQ262058 BZQ262052:BZQ262054 BZQ196596:BZQ196599 BZQ196521:BZQ196522 BZQ196516:BZQ196518 BZQ131060:BZQ131063 BZQ130985:BZQ130986 BZQ130980:BZQ130982 BZQ65524:BZQ65527 BZQ65449:BZQ65450 BZQ65444:BZQ65446 BPU983028:BPU983031 BPU982953:BPU982954 BPU982948:BPU982950 BPU917492:BPU917495 BPU917417:BPU917418 BPU917412:BPU917414 BPU851956:BPU851959 BPU851881:BPU851882 BPU851876:BPU851878 BPU786420:BPU786423 BPU786345:BPU786346 BPU786340:BPU786342 BPU720884:BPU720887 BPU720809:BPU720810 BPU720804:BPU720806 BPU655348:BPU655351 BPU655273:BPU655274 BPU655268:BPU655270 BPU589812:BPU589815 BPU589737:BPU589738 BPU589732:BPU589734 BPU524276:BPU524279 BPU524201:BPU524202 BPU524196:BPU524198 BPU458740:BPU458743 BPU458665:BPU458666 BPU458660:BPU458662 BPU393204:BPU393207 BPU393129:BPU393130 BPU393124:BPU393126 BPU327668:BPU327671 BPU327593:BPU327594 BPU327588:BPU327590 BPU262132:BPU262135 BPU262057:BPU262058 BPU262052:BPU262054 BPU196596:BPU196599 BPU196521:BPU196522 BPU196516:BPU196518 BPU131060:BPU131063 BPU130985:BPU130986 BPU130980:BPU130982 BPU65524:BPU65527 BPU65449:BPU65450 BPU65444:BPU65446 BFY983028:BFY983031 BFY982953:BFY982954 BFY982948:BFY982950 BFY917492:BFY917495 BFY917417:BFY917418 BFY917412:BFY917414 BFY851956:BFY851959 BFY851881:BFY851882 BFY851876:BFY851878 BFY786420:BFY786423 BFY786345:BFY786346 BFY786340:BFY786342 BFY720884:BFY720887 BFY720809:BFY720810 BFY720804:BFY720806 BFY655348:BFY655351 BFY655273:BFY655274 BFY655268:BFY655270 BFY589812:BFY589815 BFY589737:BFY589738 BFY589732:BFY589734 BFY524276:BFY524279 BFY524201:BFY524202 BFY524196:BFY524198 BFY458740:BFY458743 BFY458665:BFY458666 BFY458660:BFY458662 BFY393204:BFY393207 BFY393129:BFY393130 BFY393124:BFY393126 BFY327668:BFY327671 BFY327593:BFY327594 BFY327588:BFY327590 BFY262132:BFY262135 BFY262057:BFY262058 BFY262052:BFY262054 BFY196596:BFY196599 BFY196521:BFY196522 BFY196516:BFY196518 BFY131060:BFY131063 BFY130985:BFY130986 BFY130980:BFY130982 BFY65524:BFY65527 BFY65449:BFY65450 BFY65444:BFY65446 AWC983028:AWC983031 AWC982953:AWC982954 AWC982948:AWC982950 AWC917492:AWC917495 AWC917417:AWC917418 AWC917412:AWC917414 AWC851956:AWC851959 AWC851881:AWC851882 AWC851876:AWC851878 AWC786420:AWC786423 AWC786345:AWC786346 AWC786340:AWC786342 AWC720884:AWC720887 AWC720809:AWC720810 AWC720804:AWC720806 AWC655348:AWC655351 AWC655273:AWC655274 AWC655268:AWC655270 AWC589812:AWC589815 AWC589737:AWC589738 AWC589732:AWC589734 AWC524276:AWC524279 AWC524201:AWC524202 AWC524196:AWC524198 AWC458740:AWC458743 AWC458665:AWC458666 AWC458660:AWC458662 AWC393204:AWC393207 AWC393129:AWC393130 AWC393124:AWC393126 AWC327668:AWC327671 AWC327593:AWC327594 AWC327588:AWC327590 AWC262132:AWC262135 AWC262057:AWC262058 AWC262052:AWC262054 AWC196596:AWC196599 AWC196521:AWC196522 AWC196516:AWC196518 AWC131060:AWC131063 AWC130985:AWC130986 AWC130980:AWC130982 AWC65524:AWC65527 AWC65449:AWC65450 AWC65444:AWC65446 AMG983028:AMG983031 AMG982953:AMG982954 AMG982948:AMG982950 AMG917492:AMG917495 AMG917417:AMG917418 AMG917412:AMG917414 AMG851956:AMG851959 AMG851881:AMG851882 AMG851876:AMG851878 AMG786420:AMG786423 AMG786345:AMG786346 AMG786340:AMG786342 AMG720884:AMG720887 AMG720809:AMG720810 AMG720804:AMG720806 AMG655348:AMG655351 AMG655273:AMG655274 AMG655268:AMG655270 AMG589812:AMG589815 AMG589737:AMG589738 AMG589732:AMG589734 AMG524276:AMG524279 AMG524201:AMG524202 AMG524196:AMG524198 AMG458740:AMG458743 AMG458665:AMG458666 AMG458660:AMG458662 AMG393204:AMG393207 AMG393129:AMG393130 AMG393124:AMG393126 AMG327668:AMG327671 AMG327593:AMG327594 AMG327588:AMG327590 AMG262132:AMG262135 AMG262057:AMG262058 AMG262052:AMG262054 AMG196596:AMG196599 AMG196521:AMG196522 AMG196516:AMG196518 AMG131060:AMG131063 AMG130985:AMG130986 AMG130980:AMG130982 AMG65524:AMG65527 AMG65449:AMG65450 AMG65444:AMG65446 ACK983028:ACK983031 ACK982953:ACK982954 ACK982948:ACK982950 ACK917492:ACK917495 ACK917417:ACK917418 ACK917412:ACK917414 ACK851956:ACK851959 ACK851881:ACK851882 ACK851876:ACK851878 ACK786420:ACK786423 ACK786345:ACK786346 ACK786340:ACK786342 ACK720884:ACK720887 ACK720809:ACK720810 ACK720804:ACK720806 ACK655348:ACK655351 ACK655273:ACK655274 ACK655268:ACK655270 ACK589812:ACK589815 ACK589737:ACK589738 ACK589732:ACK589734 ACK524276:ACK524279 ACK524201:ACK524202 ACK524196:ACK524198 ACK458740:ACK458743 ACK458665:ACK458666 ACK458660:ACK458662 ACK393204:ACK393207 ACK393129:ACK393130 ACK393124:ACK393126 ACK327668:ACK327671 ACK327593:ACK327594 ACK327588:ACK327590 ACK262132:ACK262135 ACK262057:ACK262058 ACK262052:ACK262054 ACK196596:ACK196599 ACK196521:ACK196522 ACK196516:ACK196518 ACK131060:ACK131063 ACK130985:ACK130986 ACK130980:ACK130982 ACK65524:ACK65527 ACK65449:ACK65450 ACK65444:ACK65446 SO983028:SO983031 SO982953:SO982954 SO982948:SO982950 SO917492:SO917495 SO917417:SO917418 SO917412:SO917414 SO851956:SO851959 SO851881:SO851882 SO851876:SO851878 SO786420:SO786423 SO786345:SO786346 SO786340:SO786342 SO720884:SO720887 SO720809:SO720810 SO720804:SO720806 SO655348:SO655351 SO655273:SO655274 SO655268:SO655270 SO589812:SO589815 SO589737:SO589738 SO589732:SO589734 SO524276:SO524279 SO524201:SO524202 SO524196:SO524198 SO458740:SO458743 SO458665:SO458666 SO458660:SO458662 SO393204:SO393207 SO393129:SO393130 SO393124:SO393126 SO327668:SO327671 SO327593:SO327594 SO327588:SO327590 SO262132:SO262135 SO262057:SO262058 SO262052:SO262054 SO196596:SO196599 SO196521:SO196522 SO196516:SO196518 SO131060:SO131063 SO130985:SO130986 SO130980:SO130982 SO65524:SO65527 SO65449:SO65450 SO65444:SO65446 IS983028:IS983031 IS982953:IS982954 IS982948:IS982950 IS917492:IS917495 IS917417:IS917418 IS917412:IS917414 IS851956:IS851959 IS851881:IS851882 IS851876:IS851878 IS786420:IS786423 IS786345:IS786346 IS786340:IS786342 IS720884:IS720887 IS720809:IS720810 IS720804:IS720806 IS655348:IS655351 IS655273:IS655274 IS655268:IS655270 IS589812:IS589815 IS589737:IS589738 IS589732:IS589734 IS524276:IS524279 IS524201:IS524202 IS524196:IS524198 IS458740:IS458743 IS458665:IS458666 IS458660:IS458662 IS393204:IS393207 IS393129:IS393130 IS393124:IS393126 IS327668:IS327671 IS327593:IS327594 IS327588:IS327590 IS262132:IS262135 IS262057:IS262058 IS262052:IS262054 IS196596:IS196599 IS196521:IS196522 IS196516:IS196518 IS131060:IS131063 IS130985:IS130986 IS130980:IS130982 IS65524:IS65527 IS65449:IS65450 IS65444:IS65446 WVE982973:WVE982978 WLI982973:WLI982978 WBM982973:WBM982978 VRQ982973:VRQ982978 VHU982973:VHU982978 UXY982973:UXY982978 UOC982973:UOC982978 UEG982973:UEG982978 TUK982973:TUK982978 TKO982973:TKO982978 TAS982973:TAS982978 SQW982973:SQW982978 SHA982973:SHA982978 RXE982973:RXE982978 RNI982973:RNI982978 RDM982973:RDM982978 QTQ982973:QTQ982978 QJU982973:QJU982978 PZY982973:PZY982978 PQC982973:PQC982978 PGG982973:PGG982978 OWK982973:OWK982978 OMO982973:OMO982978 OCS982973:OCS982978 NSW982973:NSW982978 NJA982973:NJA982978 MZE982973:MZE982978 MPI982973:MPI982978 MFM982973:MFM982978 LVQ982973:LVQ982978 LLU982973:LLU982978 LBY982973:LBY982978 KSC982973:KSC982978 KIG982973:KIG982978 JYK982973:JYK982978 JOO982973:JOO982978 JES982973:JES982978 IUW982973:IUW982978 ILA982973:ILA982978 IBE982973:IBE982978 HRI982973:HRI982978 HHM982973:HHM982978 GXQ982973:GXQ982978 GNU982973:GNU982978 GDY982973:GDY982978 FUC982973:FUC982978 FKG982973:FKG982978 FAK982973:FAK982978 EQO982973:EQO982978 EGS982973:EGS982978 DWW982973:DWW982978 DNA982973:DNA982978 DDE982973:DDE982978 CTI982973:CTI982978 CJM982973:CJM982978 BZQ982973:BZQ982978 BPU982973:BPU982978 BFY982973:BFY982978 AWC982973:AWC982978 AMG982973:AMG982978 ACK982973:ACK982978 SO982973:SO982978 IS982973:IS982978 WVE982964 WLI982964 WBM982964 VRQ982964 VHU982964 UXY982964 UOC982964 UEG982964 TUK982964 TKO982964 TAS982964 SQW982964 SHA982964 RXE982964 RNI982964 RDM982964 QTQ982964 QJU982964 PZY982964 PQC982964 PGG982964 OWK982964 OMO982964 OCS982964 NSW982964 NJA982964 MZE982964 MPI982964 MFM982964 LVQ982964 LLU982964 LBY982964 KSC982964 KIG982964 JYK982964 JOO982964 JES982964 IUW982964 ILA982964 IBE982964 HRI982964 HHM982964 GXQ982964 GNU982964 GDY982964 FUC982964 FKG982964 FAK982964 EQO982964 EGS982964 DWW982964 DNA982964 DDE982964 CTI982964 CJM982964 BZQ982964 BPU982964 BFY982964 AWC982964 AMG982964 ACK982964 SO982964 IS982964 WVE982962 WLI982962 WBM982962 VRQ982962 VHU982962 UXY982962 UOC982962 UEG982962 TUK982962 TKO982962 TAS982962 SQW982962 SHA982962 RXE982962 RNI982962 RDM982962 QTQ982962 QJU982962 PZY982962 PQC982962 PGG982962 OWK982962 OMO982962 OCS982962 NSW982962 NJA982962 MZE982962 MPI982962 MFM982962 LVQ982962 LLU982962 LBY982962 KSC982962 KIG982962 JYK982962 JOO982962 JES982962 IUW982962 ILA982962 IBE982962 HRI982962 HHM982962 GXQ982962 GNU982962 GDY982962 FUC982962 FKG982962 FAK982962 EQO982962 EGS982962 DWW982962 DNA982962 DDE982962 CTI982962 CJM982962 BZQ982962 BPU982962 BFY982962 AWC982962 AMG982962 ACK982962 SO982962 IS982962 WVE982958 WLI982958 WBM982958 VRQ982958 VHU982958 UXY982958 UOC982958 UEG982958 TUK982958 TKO982958 TAS982958 SQW982958 SHA982958 RXE982958 RNI982958 RDM982958 QTQ982958 QJU982958 PZY982958 PQC982958 PGG982958 OWK982958 OMO982958 OCS982958 NSW982958 NJA982958 MZE982958 MPI982958 MFM982958 LVQ982958 LLU982958 LBY982958 KSC982958 KIG982958 JYK982958 JOO982958 JES982958 IUW982958 ILA982958 IBE982958 HRI982958 HHM982958 GXQ982958 GNU982958 GDY982958 FUC982958 FKG982958 FAK982958 EQO982958 EGS982958 DWW982958 DNA982958 DDE982958 CTI982958 CJM982958 BZQ982958 BPU982958 BFY982958 AWC982958 AMG982958 ACK982958 SO982958 IS982958 WVE982956 WLI982956 WBM982956 VRQ982956 VHU982956 UXY982956 UOC982956 UEG982956 TUK982956 TKO982956 TAS982956 SQW982956 SHA982956 RXE982956 RNI982956 RDM982956 QTQ982956 QJU982956 PZY982956 PQC982956 PGG982956 OWK982956 OMO982956 OCS982956 NSW982956 NJA982956 MZE982956 MPI982956 MFM982956 LVQ982956 LLU982956 LBY982956 KSC982956 KIG982956 JYK982956 JOO982956 JES982956 IUW982956 ILA982956 IBE982956 HRI982956 HHM982956 GXQ982956 GNU982956 GDY982956 FUC982956 FKG982956 FAK982956 EQO982956 EGS982956 DWW982956 DNA982956 DDE982956 CTI982956 CJM982956 BZQ982956 BPU982956 BFY982956 AWC982956 AMG982956 ACK982956 SO982956 IS982956 WVE917437:WVE917442 WLI917437:WLI917442 WBM917437:WBM917442 VRQ917437:VRQ917442 VHU917437:VHU917442 UXY917437:UXY917442 UOC917437:UOC917442 UEG917437:UEG917442 TUK917437:TUK917442 TKO917437:TKO917442 TAS917437:TAS917442 SQW917437:SQW917442 SHA917437:SHA917442 RXE917437:RXE917442 RNI917437:RNI917442 RDM917437:RDM917442 QTQ917437:QTQ917442 QJU917437:QJU917442 PZY917437:PZY917442 PQC917437:PQC917442 PGG917437:PGG917442 OWK917437:OWK917442 OMO917437:OMO917442 OCS917437:OCS917442 NSW917437:NSW917442 NJA917437:NJA917442 MZE917437:MZE917442 MPI917437:MPI917442 MFM917437:MFM917442 LVQ917437:LVQ917442 LLU917437:LLU917442 LBY917437:LBY917442 KSC917437:KSC917442 KIG917437:KIG917442 JYK917437:JYK917442 JOO917437:JOO917442 JES917437:JES917442 IUW917437:IUW917442 ILA917437:ILA917442 IBE917437:IBE917442 HRI917437:HRI917442 HHM917437:HHM917442 GXQ917437:GXQ917442 GNU917437:GNU917442 GDY917437:GDY917442 FUC917437:FUC917442 FKG917437:FKG917442 FAK917437:FAK917442 EQO917437:EQO917442 EGS917437:EGS917442 DWW917437:DWW917442 DNA917437:DNA917442 DDE917437:DDE917442 CTI917437:CTI917442 CJM917437:CJM917442 BZQ917437:BZQ917442 BPU917437:BPU917442 BFY917437:BFY917442 AWC917437:AWC917442 AMG917437:AMG917442 ACK917437:ACK917442 SO917437:SO917442 IS917437:IS917442 WVE917428 WLI917428 WBM917428 VRQ917428 VHU917428 UXY917428 UOC917428 UEG917428 TUK917428 TKO917428 TAS917428 SQW917428 SHA917428 RXE917428 RNI917428 RDM917428 QTQ917428 QJU917428 PZY917428 PQC917428 PGG917428 OWK917428 OMO917428 OCS917428 NSW917428 NJA917428 MZE917428 MPI917428 MFM917428 LVQ917428 LLU917428 LBY917428 KSC917428 KIG917428 JYK917428 JOO917428 JES917428 IUW917428 ILA917428 IBE917428 HRI917428 HHM917428 GXQ917428 GNU917428 GDY917428 FUC917428 FKG917428 FAK917428 EQO917428 EGS917428 DWW917428 DNA917428 DDE917428 CTI917428 CJM917428 BZQ917428 BPU917428 BFY917428 AWC917428 AMG917428 ACK917428 SO917428 IS917428 WVE917426 WLI917426 WBM917426 VRQ917426 VHU917426 UXY917426 UOC917426 UEG917426 TUK917426 TKO917426 TAS917426 SQW917426 SHA917426 RXE917426 RNI917426 RDM917426 QTQ917426 QJU917426 PZY917426 PQC917426 PGG917426 OWK917426 OMO917426 OCS917426 NSW917426 NJA917426 MZE917426 MPI917426 MFM917426 LVQ917426 LLU917426 LBY917426 KSC917426 KIG917426 JYK917426 JOO917426 JES917426 IUW917426 ILA917426 IBE917426 HRI917426 HHM917426 GXQ917426 GNU917426 GDY917426 FUC917426 FKG917426 FAK917426 EQO917426 EGS917426 DWW917426 DNA917426 DDE917426 CTI917426 CJM917426 BZQ917426 BPU917426 BFY917426 AWC917426 AMG917426 ACK917426 SO917426 IS917426 WVE917422 WLI917422 WBM917422 VRQ917422 VHU917422 UXY917422 UOC917422 UEG917422 TUK917422 TKO917422 TAS917422 SQW917422 SHA917422 RXE917422 RNI917422 RDM917422 QTQ917422 QJU917422 PZY917422 PQC917422 PGG917422 OWK917422 OMO917422 OCS917422 NSW917422 NJA917422 MZE917422 MPI917422 MFM917422 LVQ917422 LLU917422 LBY917422 KSC917422 KIG917422 JYK917422 JOO917422 JES917422 IUW917422 ILA917422 IBE917422 HRI917422 HHM917422 GXQ917422 GNU917422 GDY917422 FUC917422 FKG917422 FAK917422 EQO917422 EGS917422 DWW917422 DNA917422 DDE917422 CTI917422 CJM917422 BZQ917422 BPU917422 BFY917422 AWC917422 AMG917422 ACK917422 SO917422 IS917422 WVE917420 WLI917420 WBM917420 VRQ917420 VHU917420 UXY917420 UOC917420 UEG917420 TUK917420 TKO917420 TAS917420 SQW917420 SHA917420 RXE917420 RNI917420 RDM917420 QTQ917420 QJU917420 PZY917420 PQC917420 PGG917420 OWK917420 OMO917420 OCS917420 NSW917420 NJA917420 MZE917420 MPI917420 MFM917420 LVQ917420 LLU917420 LBY917420 KSC917420 KIG917420 JYK917420 JOO917420 JES917420 IUW917420 ILA917420 IBE917420 HRI917420 HHM917420 GXQ917420 GNU917420 GDY917420 FUC917420 FKG917420 FAK917420 EQO917420 EGS917420 DWW917420 DNA917420 DDE917420 CTI917420 CJM917420 BZQ917420 BPU917420 BFY917420 AWC917420 AMG917420 ACK917420 SO917420 IS917420 WVE851901:WVE851906 WLI851901:WLI851906 WBM851901:WBM851906 VRQ851901:VRQ851906 VHU851901:VHU851906 UXY851901:UXY851906 UOC851901:UOC851906 UEG851901:UEG851906 TUK851901:TUK851906 TKO851901:TKO851906 TAS851901:TAS851906 SQW851901:SQW851906 SHA851901:SHA851906 RXE851901:RXE851906 RNI851901:RNI851906 RDM851901:RDM851906 QTQ851901:QTQ851906 QJU851901:QJU851906 PZY851901:PZY851906 PQC851901:PQC851906 PGG851901:PGG851906 OWK851901:OWK851906 OMO851901:OMO851906 OCS851901:OCS851906 NSW851901:NSW851906 NJA851901:NJA851906 MZE851901:MZE851906 MPI851901:MPI851906 MFM851901:MFM851906 LVQ851901:LVQ851906 LLU851901:LLU851906 LBY851901:LBY851906 KSC851901:KSC851906 KIG851901:KIG851906 JYK851901:JYK851906 JOO851901:JOO851906 JES851901:JES851906 IUW851901:IUW851906 ILA851901:ILA851906 IBE851901:IBE851906 HRI851901:HRI851906 HHM851901:HHM851906 GXQ851901:GXQ851906 GNU851901:GNU851906 GDY851901:GDY851906 FUC851901:FUC851906 FKG851901:FKG851906 FAK851901:FAK851906 EQO851901:EQO851906 EGS851901:EGS851906 DWW851901:DWW851906 DNA851901:DNA851906 DDE851901:DDE851906 CTI851901:CTI851906 CJM851901:CJM851906 BZQ851901:BZQ851906 BPU851901:BPU851906 BFY851901:BFY851906 AWC851901:AWC851906 AMG851901:AMG851906 ACK851901:ACK851906 SO851901:SO851906 IS851901:IS851906 WVE851892 WLI851892 WBM851892 VRQ851892 VHU851892 UXY851892 UOC851892 UEG851892 TUK851892 TKO851892 TAS851892 SQW851892 SHA851892 RXE851892 RNI851892 RDM851892 QTQ851892 QJU851892 PZY851892 PQC851892 PGG851892 OWK851892 OMO851892 OCS851892 NSW851892 NJA851892 MZE851892 MPI851892 MFM851892 LVQ851892 LLU851892 LBY851892 KSC851892 KIG851892 JYK851892 JOO851892 JES851892 IUW851892 ILA851892 IBE851892 HRI851892 HHM851892 GXQ851892 GNU851892 GDY851892 FUC851892 FKG851892 FAK851892 EQO851892 EGS851892 DWW851892 DNA851892 DDE851892 CTI851892 CJM851892 BZQ851892 BPU851892 BFY851892 AWC851892 AMG851892 ACK851892 SO851892 IS851892 WVE851890 WLI851890 WBM851890 VRQ851890 VHU851890 UXY851890 UOC851890 UEG851890 TUK851890 TKO851890 TAS851890 SQW851890 SHA851890 RXE851890 RNI851890 RDM851890 QTQ851890 QJU851890 PZY851890 PQC851890 PGG851890 OWK851890 OMO851890 OCS851890 NSW851890 NJA851890 MZE851890 MPI851890 MFM851890 LVQ851890 LLU851890 LBY851890 KSC851890 KIG851890 JYK851890 JOO851890 JES851890 IUW851890 ILA851890 IBE851890 HRI851890 HHM851890 GXQ851890 GNU851890 GDY851890 FUC851890 FKG851890 FAK851890 EQO851890 EGS851890 DWW851890 DNA851890 DDE851890 CTI851890 CJM851890 BZQ851890 BPU851890 BFY851890 AWC851890 AMG851890 ACK851890 SO851890 IS851890 WVE851886 WLI851886 WBM851886 VRQ851886 VHU851886 UXY851886 UOC851886 UEG851886 TUK851886 TKO851886 TAS851886 SQW851886 SHA851886 RXE851886 RNI851886 RDM851886 QTQ851886 QJU851886 PZY851886 PQC851886 PGG851886 OWK851886 OMO851886 OCS851886 NSW851886 NJA851886 MZE851886 MPI851886 MFM851886 LVQ851886 LLU851886 LBY851886 KSC851886 KIG851886 JYK851886 JOO851886 JES851886 IUW851886 ILA851886 IBE851886 HRI851886 HHM851886 GXQ851886 GNU851886 GDY851886 FUC851886 FKG851886 FAK851886 EQO851886 EGS851886 DWW851886 DNA851886 DDE851886 CTI851886 CJM851886 BZQ851886 BPU851886 BFY851886 AWC851886 AMG851886 ACK851886 SO851886 IS851886 WVE851884 WLI851884 WBM851884 VRQ851884 VHU851884 UXY851884 UOC851884 UEG851884 TUK851884 TKO851884 TAS851884 SQW851884 SHA851884 RXE851884 RNI851884 RDM851884 QTQ851884 QJU851884 PZY851884 PQC851884 PGG851884 OWK851884 OMO851884 OCS851884 NSW851884 NJA851884 MZE851884 MPI851884 MFM851884 LVQ851884 LLU851884 LBY851884 KSC851884 KIG851884 JYK851884 JOO851884 JES851884 IUW851884 ILA851884 IBE851884 HRI851884 HHM851884 GXQ851884 GNU851884 GDY851884 FUC851884 FKG851884 FAK851884 EQO851884 EGS851884 DWW851884 DNA851884 DDE851884 CTI851884 CJM851884 BZQ851884 BPU851884 BFY851884 AWC851884 AMG851884 ACK851884 SO851884 IS851884 WVE786365:WVE786370 WLI786365:WLI786370 WBM786365:WBM786370 VRQ786365:VRQ786370 VHU786365:VHU786370 UXY786365:UXY786370 UOC786365:UOC786370 UEG786365:UEG786370 TUK786365:TUK786370 TKO786365:TKO786370 TAS786365:TAS786370 SQW786365:SQW786370 SHA786365:SHA786370 RXE786365:RXE786370 RNI786365:RNI786370 RDM786365:RDM786370 QTQ786365:QTQ786370 QJU786365:QJU786370 PZY786365:PZY786370 PQC786365:PQC786370 PGG786365:PGG786370 OWK786365:OWK786370 OMO786365:OMO786370 OCS786365:OCS786370 NSW786365:NSW786370 NJA786365:NJA786370 MZE786365:MZE786370 MPI786365:MPI786370 MFM786365:MFM786370 LVQ786365:LVQ786370 LLU786365:LLU786370 LBY786365:LBY786370 KSC786365:KSC786370 KIG786365:KIG786370 JYK786365:JYK786370 JOO786365:JOO786370 JES786365:JES786370 IUW786365:IUW786370 ILA786365:ILA786370 IBE786365:IBE786370 HRI786365:HRI786370 HHM786365:HHM786370 GXQ786365:GXQ786370 GNU786365:GNU786370 GDY786365:GDY786370 FUC786365:FUC786370 FKG786365:FKG786370 FAK786365:FAK786370 EQO786365:EQO786370 EGS786365:EGS786370 DWW786365:DWW786370 DNA786365:DNA786370 DDE786365:DDE786370 CTI786365:CTI786370 CJM786365:CJM786370 BZQ786365:BZQ786370 BPU786365:BPU786370 BFY786365:BFY786370 AWC786365:AWC786370 AMG786365:AMG786370 ACK786365:ACK786370 SO786365:SO786370 IS786365:IS786370 WVE786356 WLI786356 WBM786356 VRQ786356 VHU786356 UXY786356 UOC786356 UEG786356 TUK786356 TKO786356 TAS786356 SQW786356 SHA786356 RXE786356 RNI786356 RDM786356 QTQ786356 QJU786356 PZY786356 PQC786356 PGG786356 OWK786356 OMO786356 OCS786356 NSW786356 NJA786356 MZE786356 MPI786356 MFM786356 LVQ786356 LLU786356 LBY786356 KSC786356 KIG786356 JYK786356 JOO786356 JES786356 IUW786356 ILA786356 IBE786356 HRI786356 HHM786356 GXQ786356 GNU786356 GDY786356 FUC786356 FKG786356 FAK786356 EQO786356 EGS786356 DWW786356 DNA786356 DDE786356 CTI786356 CJM786356 BZQ786356 BPU786356 BFY786356 AWC786356 AMG786356 ACK786356 SO786356 IS786356 WVE786354 WLI786354 WBM786354 VRQ786354 VHU786354 UXY786354 UOC786354 UEG786354 TUK786354 TKO786354 TAS786354 SQW786354 SHA786354 RXE786354 RNI786354 RDM786354 QTQ786354 QJU786354 PZY786354 PQC786354 PGG786354 OWK786354 OMO786354 OCS786354 NSW786354 NJA786354 MZE786354 MPI786354 MFM786354 LVQ786354 LLU786354 LBY786354 KSC786354 KIG786354 JYK786354 JOO786354 JES786354 IUW786354 ILA786354 IBE786354 HRI786354 HHM786354 GXQ786354 GNU786354 GDY786354 FUC786354 FKG786354 FAK786354 EQO786354 EGS786354 DWW786354 DNA786354 DDE786354 CTI786354 CJM786354 BZQ786354 BPU786354 BFY786354 AWC786354 AMG786354 ACK786354 SO786354 IS786354 WVE786350 WLI786350 WBM786350 VRQ786350 VHU786350 UXY786350 UOC786350 UEG786350 TUK786350 TKO786350 TAS786350 SQW786350 SHA786350 RXE786350 RNI786350 RDM786350 QTQ786350 QJU786350 PZY786350 PQC786350 PGG786350 OWK786350 OMO786350 OCS786350 NSW786350 NJA786350 MZE786350 MPI786350 MFM786350 LVQ786350 LLU786350 LBY786350 KSC786350 KIG786350 JYK786350 JOO786350 JES786350 IUW786350 ILA786350 IBE786350 HRI786350 HHM786350 GXQ786350 GNU786350 GDY786350 FUC786350 FKG786350 FAK786350 EQO786350 EGS786350 DWW786350 DNA786350 DDE786350 CTI786350 CJM786350 BZQ786350 BPU786350 BFY786350 AWC786350 AMG786350 ACK786350 SO786350 IS786350 WVE786348 WLI786348 WBM786348 VRQ786348 VHU786348 UXY786348 UOC786348 UEG786348 TUK786348 TKO786348 TAS786348 SQW786348 SHA786348 RXE786348 RNI786348 RDM786348 QTQ786348 QJU786348 PZY786348 PQC786348 PGG786348 OWK786348 OMO786348 OCS786348 NSW786348 NJA786348 MZE786348 MPI786348 MFM786348 LVQ786348 LLU786348 LBY786348 KSC786348 KIG786348 JYK786348 JOO786348 JES786348 IUW786348 ILA786348 IBE786348 HRI786348 HHM786348 GXQ786348 GNU786348 GDY786348 FUC786348 FKG786348 FAK786348 EQO786348 EGS786348 DWW786348 DNA786348 DDE786348 CTI786348 CJM786348 BZQ786348 BPU786348 BFY786348 AWC786348 AMG786348 ACK786348 SO786348 IS786348 WVE720829:WVE720834 WLI720829:WLI720834 WBM720829:WBM720834 VRQ720829:VRQ720834 VHU720829:VHU720834 UXY720829:UXY720834 UOC720829:UOC720834 UEG720829:UEG720834 TUK720829:TUK720834 TKO720829:TKO720834 TAS720829:TAS720834 SQW720829:SQW720834 SHA720829:SHA720834 RXE720829:RXE720834 RNI720829:RNI720834 RDM720829:RDM720834 QTQ720829:QTQ720834 QJU720829:QJU720834 PZY720829:PZY720834 PQC720829:PQC720834 PGG720829:PGG720834 OWK720829:OWK720834 OMO720829:OMO720834 OCS720829:OCS720834 NSW720829:NSW720834 NJA720829:NJA720834 MZE720829:MZE720834 MPI720829:MPI720834 MFM720829:MFM720834 LVQ720829:LVQ720834 LLU720829:LLU720834 LBY720829:LBY720834 KSC720829:KSC720834 KIG720829:KIG720834 JYK720829:JYK720834 JOO720829:JOO720834 JES720829:JES720834 IUW720829:IUW720834 ILA720829:ILA720834 IBE720829:IBE720834 HRI720829:HRI720834 HHM720829:HHM720834 GXQ720829:GXQ720834 GNU720829:GNU720834 GDY720829:GDY720834 FUC720829:FUC720834 FKG720829:FKG720834 FAK720829:FAK720834 EQO720829:EQO720834 EGS720829:EGS720834 DWW720829:DWW720834 DNA720829:DNA720834 DDE720829:DDE720834 CTI720829:CTI720834 CJM720829:CJM720834 BZQ720829:BZQ720834 BPU720829:BPU720834 BFY720829:BFY720834 AWC720829:AWC720834 AMG720829:AMG720834 ACK720829:ACK720834 SO720829:SO720834 IS720829:IS720834 WVE720820 WLI720820 WBM720820 VRQ720820 VHU720820 UXY720820 UOC720820 UEG720820 TUK720820 TKO720820 TAS720820 SQW720820 SHA720820 RXE720820 RNI720820 RDM720820 QTQ720820 QJU720820 PZY720820 PQC720820 PGG720820 OWK720820 OMO720820 OCS720820 NSW720820 NJA720820 MZE720820 MPI720820 MFM720820 LVQ720820 LLU720820 LBY720820 KSC720820 KIG720820 JYK720820 JOO720820 JES720820 IUW720820 ILA720820 IBE720820 HRI720820 HHM720820 GXQ720820 GNU720820 GDY720820 FUC720820 FKG720820 FAK720820 EQO720820 EGS720820 DWW720820 DNA720820 DDE720820 CTI720820 CJM720820 BZQ720820 BPU720820 BFY720820 AWC720820 AMG720820 ACK720820 SO720820 IS720820 WVE720818 WLI720818 WBM720818 VRQ720818 VHU720818 UXY720818 UOC720818 UEG720818 TUK720818 TKO720818 TAS720818 SQW720818 SHA720818 RXE720818 RNI720818 RDM720818 QTQ720818 QJU720818 PZY720818 PQC720818 PGG720818 OWK720818 OMO720818 OCS720818 NSW720818 NJA720818 MZE720818 MPI720818 MFM720818 LVQ720818 LLU720818 LBY720818 KSC720818 KIG720818 JYK720818 JOO720818 JES720818 IUW720818 ILA720818 IBE720818 HRI720818 HHM720818 GXQ720818 GNU720818 GDY720818 FUC720818 FKG720818 FAK720818 EQO720818 EGS720818 DWW720818 DNA720818 DDE720818 CTI720818 CJM720818 BZQ720818 BPU720818 BFY720818 AWC720818 AMG720818 ACK720818 SO720818 IS720818 WVE720814 WLI720814 WBM720814 VRQ720814 VHU720814 UXY720814 UOC720814 UEG720814 TUK720814 TKO720814 TAS720814 SQW720814 SHA720814 RXE720814 RNI720814 RDM720814 QTQ720814 QJU720814 PZY720814 PQC720814 PGG720814 OWK720814 OMO720814 OCS720814 NSW720814 NJA720814 MZE720814 MPI720814 MFM720814 LVQ720814 LLU720814 LBY720814 KSC720814 KIG720814 JYK720814 JOO720814 JES720814 IUW720814 ILA720814 IBE720814 HRI720814 HHM720814 GXQ720814 GNU720814 GDY720814 FUC720814 FKG720814 FAK720814 EQO720814 EGS720814 DWW720814 DNA720814 DDE720814 CTI720814 CJM720814 BZQ720814 BPU720814 BFY720814 AWC720814 AMG720814 ACK720814 SO720814 IS720814 WVE720812 WLI720812 WBM720812 VRQ720812 VHU720812 UXY720812 UOC720812 UEG720812 TUK720812 TKO720812 TAS720812 SQW720812 SHA720812 RXE720812 RNI720812 RDM720812 QTQ720812 QJU720812 PZY720812 PQC720812 PGG720812 OWK720812 OMO720812 OCS720812 NSW720812 NJA720812 MZE720812 MPI720812 MFM720812 LVQ720812 LLU720812 LBY720812 KSC720812 KIG720812 JYK720812 JOO720812 JES720812 IUW720812 ILA720812 IBE720812 HRI720812 HHM720812 GXQ720812 GNU720812 GDY720812 FUC720812 FKG720812 FAK720812 EQO720812 EGS720812 DWW720812 DNA720812 DDE720812 CTI720812 CJM720812 BZQ720812 BPU720812 BFY720812 AWC720812 AMG720812 ACK720812 SO720812 IS720812 WVE655293:WVE655298 WLI655293:WLI655298 WBM655293:WBM655298 VRQ655293:VRQ655298 VHU655293:VHU655298 UXY655293:UXY655298 UOC655293:UOC655298 UEG655293:UEG655298 TUK655293:TUK655298 TKO655293:TKO655298 TAS655293:TAS655298 SQW655293:SQW655298 SHA655293:SHA655298 RXE655293:RXE655298 RNI655293:RNI655298 RDM655293:RDM655298 QTQ655293:QTQ655298 QJU655293:QJU655298 PZY655293:PZY655298 PQC655293:PQC655298 PGG655293:PGG655298 OWK655293:OWK655298 OMO655293:OMO655298 OCS655293:OCS655298 NSW655293:NSW655298 NJA655293:NJA655298 MZE655293:MZE655298 MPI655293:MPI655298 MFM655293:MFM655298 LVQ655293:LVQ655298 LLU655293:LLU655298 LBY655293:LBY655298 KSC655293:KSC655298 KIG655293:KIG655298 JYK655293:JYK655298 JOO655293:JOO655298 JES655293:JES655298 IUW655293:IUW655298 ILA655293:ILA655298 IBE655293:IBE655298 HRI655293:HRI655298 HHM655293:HHM655298 GXQ655293:GXQ655298 GNU655293:GNU655298 GDY655293:GDY655298 FUC655293:FUC655298 FKG655293:FKG655298 FAK655293:FAK655298 EQO655293:EQO655298 EGS655293:EGS655298 DWW655293:DWW655298 DNA655293:DNA655298 DDE655293:DDE655298 CTI655293:CTI655298 CJM655293:CJM655298 BZQ655293:BZQ655298 BPU655293:BPU655298 BFY655293:BFY655298 AWC655293:AWC655298 AMG655293:AMG655298 ACK655293:ACK655298 SO655293:SO655298 IS655293:IS655298 WVE655284 WLI655284 WBM655284 VRQ655284 VHU655284 UXY655284 UOC655284 UEG655284 TUK655284 TKO655284 TAS655284 SQW655284 SHA655284 RXE655284 RNI655284 RDM655284 QTQ655284 QJU655284 PZY655284 PQC655284 PGG655284 OWK655284 OMO655284 OCS655284 NSW655284 NJA655284 MZE655284 MPI655284 MFM655284 LVQ655284 LLU655284 LBY655284 KSC655284 KIG655284 JYK655284 JOO655284 JES655284 IUW655284 ILA655284 IBE655284 HRI655284 HHM655284 GXQ655284 GNU655284 GDY655284 FUC655284 FKG655284 FAK655284 EQO655284 EGS655284 DWW655284 DNA655284 DDE655284 CTI655284 CJM655284 BZQ655284 BPU655284 BFY655284 AWC655284 AMG655284 ACK655284 SO655284 IS655284 WVE655282 WLI655282 WBM655282 VRQ655282 VHU655282 UXY655282 UOC655282 UEG655282 TUK655282 TKO655282 TAS655282 SQW655282 SHA655282 RXE655282 RNI655282 RDM655282 QTQ655282 QJU655282 PZY655282 PQC655282 PGG655282 OWK655282 OMO655282 OCS655282 NSW655282 NJA655282 MZE655282 MPI655282 MFM655282 LVQ655282 LLU655282 LBY655282 KSC655282 KIG655282 JYK655282 JOO655282 JES655282 IUW655282 ILA655282 IBE655282 HRI655282 HHM655282 GXQ655282 GNU655282 GDY655282 FUC655282 FKG655282 FAK655282 EQO655282 EGS655282 DWW655282 DNA655282 DDE655282 CTI655282 CJM655282 BZQ655282 BPU655282 BFY655282 AWC655282 AMG655282 ACK655282 SO655282 IS655282 WVE655278 WLI655278 WBM655278 VRQ655278 VHU655278 UXY655278 UOC655278 UEG655278 TUK655278 TKO655278 TAS655278 SQW655278 SHA655278 RXE655278 RNI655278 RDM655278 QTQ655278 QJU655278 PZY655278 PQC655278 PGG655278 OWK655278 OMO655278 OCS655278 NSW655278 NJA655278 MZE655278 MPI655278 MFM655278 LVQ655278 LLU655278 LBY655278 KSC655278 KIG655278 JYK655278 JOO655278 JES655278 IUW655278 ILA655278 IBE655278 HRI655278 HHM655278 GXQ655278 GNU655278 GDY655278 FUC655278 FKG655278 FAK655278 EQO655278 EGS655278 DWW655278 DNA655278 DDE655278 CTI655278 CJM655278 BZQ655278 BPU655278 BFY655278 AWC655278 AMG655278 ACK655278 SO655278 IS655278 WVE655276 WLI655276 WBM655276 VRQ655276 VHU655276 UXY655276 UOC655276 UEG655276 TUK655276 TKO655276 TAS655276 SQW655276 SHA655276 RXE655276 RNI655276 RDM655276 QTQ655276 QJU655276 PZY655276 PQC655276 PGG655276 OWK655276 OMO655276 OCS655276 NSW655276 NJA655276 MZE655276 MPI655276 MFM655276 LVQ655276 LLU655276 LBY655276 KSC655276 KIG655276 JYK655276 JOO655276 JES655276 IUW655276 ILA655276 IBE655276 HRI655276 HHM655276 GXQ655276 GNU655276 GDY655276 FUC655276 FKG655276 FAK655276 EQO655276 EGS655276 DWW655276 DNA655276 DDE655276 CTI655276 CJM655276 BZQ655276 BPU655276 BFY655276 AWC655276 AMG655276 ACK655276 SO655276 IS655276 WVE589757:WVE589762 WLI589757:WLI589762 WBM589757:WBM589762 VRQ589757:VRQ589762 VHU589757:VHU589762 UXY589757:UXY589762 UOC589757:UOC589762 UEG589757:UEG589762 TUK589757:TUK589762 TKO589757:TKO589762 TAS589757:TAS589762 SQW589757:SQW589762 SHA589757:SHA589762 RXE589757:RXE589762 RNI589757:RNI589762 RDM589757:RDM589762 QTQ589757:QTQ589762 QJU589757:QJU589762 PZY589757:PZY589762 PQC589757:PQC589762 PGG589757:PGG589762 OWK589757:OWK589762 OMO589757:OMO589762 OCS589757:OCS589762 NSW589757:NSW589762 NJA589757:NJA589762 MZE589757:MZE589762 MPI589757:MPI589762 MFM589757:MFM589762 LVQ589757:LVQ589762 LLU589757:LLU589762 LBY589757:LBY589762 KSC589757:KSC589762 KIG589757:KIG589762 JYK589757:JYK589762 JOO589757:JOO589762 JES589757:JES589762 IUW589757:IUW589762 ILA589757:ILA589762 IBE589757:IBE589762 HRI589757:HRI589762 HHM589757:HHM589762 GXQ589757:GXQ589762 GNU589757:GNU589762 GDY589757:GDY589762 FUC589757:FUC589762 FKG589757:FKG589762 FAK589757:FAK589762 EQO589757:EQO589762 EGS589757:EGS589762 DWW589757:DWW589762 DNA589757:DNA589762 DDE589757:DDE589762 CTI589757:CTI589762 CJM589757:CJM589762 BZQ589757:BZQ589762 BPU589757:BPU589762 BFY589757:BFY589762 AWC589757:AWC589762 AMG589757:AMG589762 ACK589757:ACK589762 SO589757:SO589762 IS589757:IS589762 WVE589748 WLI589748 WBM589748 VRQ589748 VHU589748 UXY589748 UOC589748 UEG589748 TUK589748 TKO589748 TAS589748 SQW589748 SHA589748 RXE589748 RNI589748 RDM589748 QTQ589748 QJU589748 PZY589748 PQC589748 PGG589748 OWK589748 OMO589748 OCS589748 NSW589748 NJA589748 MZE589748 MPI589748 MFM589748 LVQ589748 LLU589748 LBY589748 KSC589748 KIG589748 JYK589748 JOO589748 JES589748 IUW589748 ILA589748 IBE589748 HRI589748 HHM589748 GXQ589748 GNU589748 GDY589748 FUC589748 FKG589748 FAK589748 EQO589748 EGS589748 DWW589748 DNA589748 DDE589748 CTI589748 CJM589748 BZQ589748 BPU589748 BFY589748 AWC589748 AMG589748 ACK589748 SO589748 IS589748 WVE589746 WLI589746 WBM589746 VRQ589746 VHU589746 UXY589746 UOC589746 UEG589746 TUK589746 TKO589746 TAS589746 SQW589746 SHA589746 RXE589746 RNI589746 RDM589746 QTQ589746 QJU589746 PZY589746 PQC589746 PGG589746 OWK589746 OMO589746 OCS589746 NSW589746 NJA589746 MZE589746 MPI589746 MFM589746 LVQ589746 LLU589746 LBY589746 KSC589746 KIG589746 JYK589746 JOO589746 JES589746 IUW589746 ILA589746 IBE589746 HRI589746 HHM589746 GXQ589746 GNU589746 GDY589746 FUC589746 FKG589746 FAK589746 EQO589746 EGS589746 DWW589746 DNA589746 DDE589746 CTI589746 CJM589746 BZQ589746 BPU589746 BFY589746 AWC589746 AMG589746 ACK589746 SO589746 IS589746 WVE589742 WLI589742 WBM589742 VRQ589742 VHU589742 UXY589742 UOC589742 UEG589742 TUK589742 TKO589742 TAS589742 SQW589742 SHA589742 RXE589742 RNI589742 RDM589742 QTQ589742 QJU589742 PZY589742 PQC589742 PGG589742 OWK589742 OMO589742 OCS589742 NSW589742 NJA589742 MZE589742 MPI589742 MFM589742 LVQ589742 LLU589742 LBY589742 KSC589742 KIG589742 JYK589742 JOO589742 JES589742 IUW589742 ILA589742 IBE589742 HRI589742 HHM589742 GXQ589742 GNU589742 GDY589742 FUC589742 FKG589742 FAK589742 EQO589742 EGS589742 DWW589742 DNA589742 DDE589742 CTI589742 CJM589742 BZQ589742 BPU589742 BFY589742 AWC589742 AMG589742 ACK589742 SO589742 IS589742 WVE589740 WLI589740 WBM589740 VRQ589740 VHU589740 UXY589740 UOC589740 UEG589740 TUK589740 TKO589740 TAS589740 SQW589740 SHA589740 RXE589740 RNI589740 RDM589740 QTQ589740 QJU589740 PZY589740 PQC589740 PGG589740 OWK589740 OMO589740 OCS589740 NSW589740 NJA589740 MZE589740 MPI589740 MFM589740 LVQ589740 LLU589740 LBY589740 KSC589740 KIG589740 JYK589740 JOO589740 JES589740 IUW589740 ILA589740 IBE589740 HRI589740 HHM589740 GXQ589740 GNU589740 GDY589740 FUC589740 FKG589740 FAK589740 EQO589740 EGS589740 DWW589740 DNA589740 DDE589740 CTI589740 CJM589740 BZQ589740 BPU589740 BFY589740 AWC589740 AMG589740 ACK589740 SO589740 IS589740 WVE524221:WVE524226 WLI524221:WLI524226 WBM524221:WBM524226 VRQ524221:VRQ524226 VHU524221:VHU524226 UXY524221:UXY524226 UOC524221:UOC524226 UEG524221:UEG524226 TUK524221:TUK524226 TKO524221:TKO524226 TAS524221:TAS524226 SQW524221:SQW524226 SHA524221:SHA524226 RXE524221:RXE524226 RNI524221:RNI524226 RDM524221:RDM524226 QTQ524221:QTQ524226 QJU524221:QJU524226 PZY524221:PZY524226 PQC524221:PQC524226 PGG524221:PGG524226 OWK524221:OWK524226 OMO524221:OMO524226 OCS524221:OCS524226 NSW524221:NSW524226 NJA524221:NJA524226 MZE524221:MZE524226 MPI524221:MPI524226 MFM524221:MFM524226 LVQ524221:LVQ524226 LLU524221:LLU524226 LBY524221:LBY524226 KSC524221:KSC524226 KIG524221:KIG524226 JYK524221:JYK524226 JOO524221:JOO524226 JES524221:JES524226 IUW524221:IUW524226 ILA524221:ILA524226 IBE524221:IBE524226 HRI524221:HRI524226 HHM524221:HHM524226 GXQ524221:GXQ524226 GNU524221:GNU524226 GDY524221:GDY524226 FUC524221:FUC524226 FKG524221:FKG524226 FAK524221:FAK524226 EQO524221:EQO524226 EGS524221:EGS524226 DWW524221:DWW524226 DNA524221:DNA524226 DDE524221:DDE524226 CTI524221:CTI524226 CJM524221:CJM524226 BZQ524221:BZQ524226 BPU524221:BPU524226 BFY524221:BFY524226 AWC524221:AWC524226 AMG524221:AMG524226 ACK524221:ACK524226 SO524221:SO524226 IS524221:IS524226 WVE524212 WLI524212 WBM524212 VRQ524212 VHU524212 UXY524212 UOC524212 UEG524212 TUK524212 TKO524212 TAS524212 SQW524212 SHA524212 RXE524212 RNI524212 RDM524212 QTQ524212 QJU524212 PZY524212 PQC524212 PGG524212 OWK524212 OMO524212 OCS524212 NSW524212 NJA524212 MZE524212 MPI524212 MFM524212 LVQ524212 LLU524212 LBY524212 KSC524212 KIG524212 JYK524212 JOO524212 JES524212 IUW524212 ILA524212 IBE524212 HRI524212 HHM524212 GXQ524212 GNU524212 GDY524212 FUC524212 FKG524212 FAK524212 EQO524212 EGS524212 DWW524212 DNA524212 DDE524212 CTI524212 CJM524212 BZQ524212 BPU524212 BFY524212 AWC524212 AMG524212 ACK524212 SO524212 IS524212 WVE524210 WLI524210 WBM524210 VRQ524210 VHU524210 UXY524210 UOC524210 UEG524210 TUK524210 TKO524210 TAS524210 SQW524210 SHA524210 RXE524210 RNI524210 RDM524210 QTQ524210 QJU524210 PZY524210 PQC524210 PGG524210 OWK524210 OMO524210 OCS524210 NSW524210 NJA524210 MZE524210 MPI524210 MFM524210 LVQ524210 LLU524210 LBY524210 KSC524210 KIG524210 JYK524210 JOO524210 JES524210 IUW524210 ILA524210 IBE524210 HRI524210 HHM524210 GXQ524210 GNU524210 GDY524210 FUC524210 FKG524210 FAK524210 EQO524210 EGS524210 DWW524210 DNA524210 DDE524210 CTI524210 CJM524210 BZQ524210 BPU524210 BFY524210 AWC524210 AMG524210 ACK524210 SO524210 IS524210 WVE524206 WLI524206 WBM524206 VRQ524206 VHU524206 UXY524206 UOC524206 UEG524206 TUK524206 TKO524206 TAS524206 SQW524206 SHA524206 RXE524206 RNI524206 RDM524206 QTQ524206 QJU524206 PZY524206 PQC524206 PGG524206 OWK524206 OMO524206 OCS524206 NSW524206 NJA524206 MZE524206 MPI524206 MFM524206 LVQ524206 LLU524206 LBY524206 KSC524206 KIG524206 JYK524206 JOO524206 JES524206 IUW524206 ILA524206 IBE524206 HRI524206 HHM524206 GXQ524206 GNU524206 GDY524206 FUC524206 FKG524206 FAK524206 EQO524206 EGS524206 DWW524206 DNA524206 DDE524206 CTI524206 CJM524206 BZQ524206 BPU524206 BFY524206 AWC524206 AMG524206 ACK524206 SO524206 IS524206 WVE524204 WLI524204 WBM524204 VRQ524204 VHU524204 UXY524204 UOC524204 UEG524204 TUK524204 TKO524204 TAS524204 SQW524204 SHA524204 RXE524204 RNI524204 RDM524204 QTQ524204 QJU524204 PZY524204 PQC524204 PGG524204 OWK524204 OMO524204 OCS524204 NSW524204 NJA524204 MZE524204 MPI524204 MFM524204 LVQ524204 LLU524204 LBY524204 KSC524204 KIG524204 JYK524204 JOO524204 JES524204 IUW524204 ILA524204 IBE524204 HRI524204 HHM524204 GXQ524204 GNU524204 GDY524204 FUC524204 FKG524204 FAK524204 EQO524204 EGS524204 DWW524204 DNA524204 DDE524204 CTI524204 CJM524204 BZQ524204 BPU524204 BFY524204 AWC524204 AMG524204 ACK524204 SO524204 IS524204 WVE458685:WVE458690 WLI458685:WLI458690 WBM458685:WBM458690 VRQ458685:VRQ458690 VHU458685:VHU458690 UXY458685:UXY458690 UOC458685:UOC458690 UEG458685:UEG458690 TUK458685:TUK458690 TKO458685:TKO458690 TAS458685:TAS458690 SQW458685:SQW458690 SHA458685:SHA458690 RXE458685:RXE458690 RNI458685:RNI458690 RDM458685:RDM458690 QTQ458685:QTQ458690 QJU458685:QJU458690 PZY458685:PZY458690 PQC458685:PQC458690 PGG458685:PGG458690 OWK458685:OWK458690 OMO458685:OMO458690 OCS458685:OCS458690 NSW458685:NSW458690 NJA458685:NJA458690 MZE458685:MZE458690 MPI458685:MPI458690 MFM458685:MFM458690 LVQ458685:LVQ458690 LLU458685:LLU458690 LBY458685:LBY458690 KSC458685:KSC458690 KIG458685:KIG458690 JYK458685:JYK458690 JOO458685:JOO458690 JES458685:JES458690 IUW458685:IUW458690 ILA458685:ILA458690 IBE458685:IBE458690 HRI458685:HRI458690 HHM458685:HHM458690 GXQ458685:GXQ458690 GNU458685:GNU458690 GDY458685:GDY458690 FUC458685:FUC458690 FKG458685:FKG458690 FAK458685:FAK458690 EQO458685:EQO458690 EGS458685:EGS458690 DWW458685:DWW458690 DNA458685:DNA458690 DDE458685:DDE458690 CTI458685:CTI458690 CJM458685:CJM458690 BZQ458685:BZQ458690 BPU458685:BPU458690 BFY458685:BFY458690 AWC458685:AWC458690 AMG458685:AMG458690 ACK458685:ACK458690 SO458685:SO458690 IS458685:IS458690 WVE458676 WLI458676 WBM458676 VRQ458676 VHU458676 UXY458676 UOC458676 UEG458676 TUK458676 TKO458676 TAS458676 SQW458676 SHA458676 RXE458676 RNI458676 RDM458676 QTQ458676 QJU458676 PZY458676 PQC458676 PGG458676 OWK458676 OMO458676 OCS458676 NSW458676 NJA458676 MZE458676 MPI458676 MFM458676 LVQ458676 LLU458676 LBY458676 KSC458676 KIG458676 JYK458676 JOO458676 JES458676 IUW458676 ILA458676 IBE458676 HRI458676 HHM458676 GXQ458676 GNU458676 GDY458676 FUC458676 FKG458676 FAK458676 EQO458676 EGS458676 DWW458676 DNA458676 DDE458676 CTI458676 CJM458676 BZQ458676 BPU458676 BFY458676 AWC458676 AMG458676 ACK458676 SO458676 IS458676 WVE458674 WLI458674 WBM458674 VRQ458674 VHU458674 UXY458674 UOC458674 UEG458674 TUK458674 TKO458674 TAS458674 SQW458674 SHA458674 RXE458674 RNI458674 RDM458674 QTQ458674 QJU458674 PZY458674 PQC458674 PGG458674 OWK458674 OMO458674 OCS458674 NSW458674 NJA458674 MZE458674 MPI458674 MFM458674 LVQ458674 LLU458674 LBY458674 KSC458674 KIG458674 JYK458674 JOO458674 JES458674 IUW458674 ILA458674 IBE458674 HRI458674 HHM458674 GXQ458674 GNU458674 GDY458674 FUC458674 FKG458674 FAK458674 EQO458674 EGS458674 DWW458674 DNA458674 DDE458674 CTI458674 CJM458674 BZQ458674 BPU458674 BFY458674 AWC458674 AMG458674 ACK458674 SO458674 IS458674 WVE458670 WLI458670 WBM458670 VRQ458670 VHU458670 UXY458670 UOC458670 UEG458670 TUK458670 TKO458670 TAS458670 SQW458670 SHA458670 RXE458670 RNI458670 RDM458670 QTQ458670 QJU458670 PZY458670 PQC458670 PGG458670 OWK458670 OMO458670 OCS458670 NSW458670 NJA458670 MZE458670 MPI458670 MFM458670 LVQ458670 LLU458670 LBY458670 KSC458670 KIG458670 JYK458670 JOO458670 JES458670 IUW458670 ILA458670 IBE458670 HRI458670 HHM458670 GXQ458670 GNU458670 GDY458670 FUC458670 FKG458670 FAK458670 EQO458670 EGS458670 DWW458670 DNA458670 DDE458670 CTI458670 CJM458670 BZQ458670 BPU458670 BFY458670 AWC458670 AMG458670 ACK458670 SO458670 IS458670 WVE458668 WLI458668 WBM458668 VRQ458668 VHU458668 UXY458668 UOC458668 UEG458668 TUK458668 TKO458668 TAS458668 SQW458668 SHA458668 RXE458668 RNI458668 RDM458668 QTQ458668 QJU458668 PZY458668 PQC458668 PGG458668 OWK458668 OMO458668 OCS458668 NSW458668 NJA458668 MZE458668 MPI458668 MFM458668 LVQ458668 LLU458668 LBY458668 KSC458668 KIG458668 JYK458668 JOO458668 JES458668 IUW458668 ILA458668 IBE458668 HRI458668 HHM458668 GXQ458668 GNU458668 GDY458668 FUC458668 FKG458668 FAK458668 EQO458668 EGS458668 DWW458668 DNA458668 DDE458668 CTI458668 CJM458668 BZQ458668 BPU458668 BFY458668 AWC458668 AMG458668 ACK458668 SO458668 IS458668 WVE393149:WVE393154 WLI393149:WLI393154 WBM393149:WBM393154 VRQ393149:VRQ393154 VHU393149:VHU393154 UXY393149:UXY393154 UOC393149:UOC393154 UEG393149:UEG393154 TUK393149:TUK393154 TKO393149:TKO393154 TAS393149:TAS393154 SQW393149:SQW393154 SHA393149:SHA393154 RXE393149:RXE393154 RNI393149:RNI393154 RDM393149:RDM393154 QTQ393149:QTQ393154 QJU393149:QJU393154 PZY393149:PZY393154 PQC393149:PQC393154 PGG393149:PGG393154 OWK393149:OWK393154 OMO393149:OMO393154 OCS393149:OCS393154 NSW393149:NSW393154 NJA393149:NJA393154 MZE393149:MZE393154 MPI393149:MPI393154 MFM393149:MFM393154 LVQ393149:LVQ393154 LLU393149:LLU393154 LBY393149:LBY393154 KSC393149:KSC393154 KIG393149:KIG393154 JYK393149:JYK393154 JOO393149:JOO393154 JES393149:JES393154 IUW393149:IUW393154 ILA393149:ILA393154 IBE393149:IBE393154 HRI393149:HRI393154 HHM393149:HHM393154 GXQ393149:GXQ393154 GNU393149:GNU393154 GDY393149:GDY393154 FUC393149:FUC393154 FKG393149:FKG393154 FAK393149:FAK393154 EQO393149:EQO393154 EGS393149:EGS393154 DWW393149:DWW393154 DNA393149:DNA393154 DDE393149:DDE393154 CTI393149:CTI393154 CJM393149:CJM393154 BZQ393149:BZQ393154 BPU393149:BPU393154 BFY393149:BFY393154 AWC393149:AWC393154 AMG393149:AMG393154 ACK393149:ACK393154 SO393149:SO393154 IS393149:IS393154 WVE393140 WLI393140 WBM393140 VRQ393140 VHU393140 UXY393140 UOC393140 UEG393140 TUK393140 TKO393140 TAS393140 SQW393140 SHA393140 RXE393140 RNI393140 RDM393140 QTQ393140 QJU393140 PZY393140 PQC393140 PGG393140 OWK393140 OMO393140 OCS393140 NSW393140 NJA393140 MZE393140 MPI393140 MFM393140 LVQ393140 LLU393140 LBY393140 KSC393140 KIG393140 JYK393140 JOO393140 JES393140 IUW393140 ILA393140 IBE393140 HRI393140 HHM393140 GXQ393140 GNU393140 GDY393140 FUC393140 FKG393140 FAK393140 EQO393140 EGS393140 DWW393140 DNA393140 DDE393140 CTI393140 CJM393140 BZQ393140 BPU393140 BFY393140 AWC393140 AMG393140 ACK393140 SO393140 IS393140 WVE393138 WLI393138 WBM393138 VRQ393138 VHU393138 UXY393138 UOC393138 UEG393138 TUK393138 TKO393138 TAS393138 SQW393138 SHA393138 RXE393138 RNI393138 RDM393138 QTQ393138 QJU393138 PZY393138 PQC393138 PGG393138 OWK393138 OMO393138 OCS393138 NSW393138 NJA393138 MZE393138 MPI393138 MFM393138 LVQ393138 LLU393138 LBY393138 KSC393138 KIG393138 JYK393138 JOO393138 JES393138 IUW393138 ILA393138 IBE393138 HRI393138 HHM393138 GXQ393138 GNU393138 GDY393138 FUC393138 FKG393138 FAK393138 EQO393138 EGS393138 DWW393138 DNA393138 DDE393138 CTI393138 CJM393138 BZQ393138 BPU393138 BFY393138 AWC393138 AMG393138 ACK393138 SO393138 IS393138 WVE393134 WLI393134 WBM393134 VRQ393134 VHU393134 UXY393134 UOC393134 UEG393134 TUK393134 TKO393134 TAS393134 SQW393134 SHA393134 RXE393134 RNI393134 RDM393134 QTQ393134 QJU393134 PZY393134 PQC393134 PGG393134 OWK393134 OMO393134 OCS393134 NSW393134 NJA393134 MZE393134 MPI393134 MFM393134 LVQ393134 LLU393134 LBY393134 KSC393134 KIG393134 JYK393134 JOO393134 JES393134 IUW393134 ILA393134 IBE393134 HRI393134 HHM393134 GXQ393134 GNU393134 GDY393134 FUC393134 FKG393134 FAK393134 EQO393134 EGS393134 DWW393134 DNA393134 DDE393134 CTI393134 CJM393134 BZQ393134 BPU393134 BFY393134 AWC393134 AMG393134 ACK393134 SO393134 IS393134 WVE393132 WLI393132 WBM393132 VRQ393132 VHU393132 UXY393132 UOC393132 UEG393132 TUK393132 TKO393132 TAS393132 SQW393132 SHA393132 RXE393132 RNI393132 RDM393132 QTQ393132 QJU393132 PZY393132 PQC393132 PGG393132 OWK393132 OMO393132 OCS393132 NSW393132 NJA393132 MZE393132 MPI393132 MFM393132 LVQ393132 LLU393132 LBY393132 KSC393132 KIG393132 JYK393132 JOO393132 JES393132 IUW393132 ILA393132 IBE393132 HRI393132 HHM393132 GXQ393132 GNU393132 GDY393132 FUC393132 FKG393132 FAK393132 EQO393132 EGS393132 DWW393132 DNA393132 DDE393132 CTI393132 CJM393132 BZQ393132 BPU393132 BFY393132 AWC393132 AMG393132 ACK393132 SO393132 IS393132 WVE327613:WVE327618 WLI327613:WLI327618 WBM327613:WBM327618 VRQ327613:VRQ327618 VHU327613:VHU327618 UXY327613:UXY327618 UOC327613:UOC327618 UEG327613:UEG327618 TUK327613:TUK327618 TKO327613:TKO327618 TAS327613:TAS327618 SQW327613:SQW327618 SHA327613:SHA327618 RXE327613:RXE327618 RNI327613:RNI327618 RDM327613:RDM327618 QTQ327613:QTQ327618 QJU327613:QJU327618 PZY327613:PZY327618 PQC327613:PQC327618 PGG327613:PGG327618 OWK327613:OWK327618 OMO327613:OMO327618 OCS327613:OCS327618 NSW327613:NSW327618 NJA327613:NJA327618 MZE327613:MZE327618 MPI327613:MPI327618 MFM327613:MFM327618 LVQ327613:LVQ327618 LLU327613:LLU327618 LBY327613:LBY327618 KSC327613:KSC327618 KIG327613:KIG327618 JYK327613:JYK327618 JOO327613:JOO327618 JES327613:JES327618 IUW327613:IUW327618 ILA327613:ILA327618 IBE327613:IBE327618 HRI327613:HRI327618 HHM327613:HHM327618 GXQ327613:GXQ327618 GNU327613:GNU327618 GDY327613:GDY327618 FUC327613:FUC327618 FKG327613:FKG327618 FAK327613:FAK327618 EQO327613:EQO327618 EGS327613:EGS327618 DWW327613:DWW327618 DNA327613:DNA327618 DDE327613:DDE327618 CTI327613:CTI327618 CJM327613:CJM327618 BZQ327613:BZQ327618 BPU327613:BPU327618 BFY327613:BFY327618 AWC327613:AWC327618 AMG327613:AMG327618 ACK327613:ACK327618 SO327613:SO327618 IS327613:IS327618 WVE327604 WLI327604 WBM327604 VRQ327604 VHU327604 UXY327604 UOC327604 UEG327604 TUK327604 TKO327604 TAS327604 SQW327604 SHA327604 RXE327604 RNI327604 RDM327604 QTQ327604 QJU327604 PZY327604 PQC327604 PGG327604 OWK327604 OMO327604 OCS327604 NSW327604 NJA327604 MZE327604 MPI327604 MFM327604 LVQ327604 LLU327604 LBY327604 KSC327604 KIG327604 JYK327604 JOO327604 JES327604 IUW327604 ILA327604 IBE327604 HRI327604 HHM327604 GXQ327604 GNU327604 GDY327604 FUC327604 FKG327604 FAK327604 EQO327604 EGS327604 DWW327604 DNA327604 DDE327604 CTI327604 CJM327604 BZQ327604 BPU327604 BFY327604 AWC327604 AMG327604 ACK327604 SO327604 IS327604 WVE327602 WLI327602 WBM327602 VRQ327602 VHU327602 UXY327602 UOC327602 UEG327602 TUK327602 TKO327602 TAS327602 SQW327602 SHA327602 RXE327602 RNI327602 RDM327602 QTQ327602 QJU327602 PZY327602 PQC327602 PGG327602 OWK327602 OMO327602 OCS327602 NSW327602 NJA327602 MZE327602 MPI327602 MFM327602 LVQ327602 LLU327602 LBY327602 KSC327602 KIG327602 JYK327602 JOO327602 JES327602 IUW327602 ILA327602 IBE327602 HRI327602 HHM327602 GXQ327602 GNU327602 GDY327602 FUC327602 FKG327602 FAK327602 EQO327602 EGS327602 DWW327602 DNA327602 DDE327602 CTI327602 CJM327602 BZQ327602 BPU327602 BFY327602 AWC327602 AMG327602 ACK327602 SO327602 IS327602 WVE327598 WLI327598 WBM327598 VRQ327598 VHU327598 UXY327598 UOC327598 UEG327598 TUK327598 TKO327598 TAS327598 SQW327598 SHA327598 RXE327598 RNI327598 RDM327598 QTQ327598 QJU327598 PZY327598 PQC327598 PGG327598 OWK327598 OMO327598 OCS327598 NSW327598 NJA327598 MZE327598 MPI327598 MFM327598 LVQ327598 LLU327598 LBY327598 KSC327598 KIG327598 JYK327598 JOO327598 JES327598 IUW327598 ILA327598 IBE327598 HRI327598 HHM327598 GXQ327598 GNU327598 GDY327598 FUC327598 FKG327598 FAK327598 EQO327598 EGS327598 DWW327598 DNA327598 DDE327598 CTI327598 CJM327598 BZQ327598 BPU327598 BFY327598 AWC327598 AMG327598 ACK327598 SO327598 IS327598 WVE327596 WLI327596 WBM327596 VRQ327596 VHU327596 UXY327596 UOC327596 UEG327596 TUK327596 TKO327596 TAS327596 SQW327596 SHA327596 RXE327596 RNI327596 RDM327596 QTQ327596 QJU327596 PZY327596 PQC327596 PGG327596 OWK327596 OMO327596 OCS327596 NSW327596 NJA327596 MZE327596 MPI327596 MFM327596 LVQ327596 LLU327596 LBY327596 KSC327596 KIG327596 JYK327596 JOO327596 JES327596 IUW327596 ILA327596 IBE327596 HRI327596 HHM327596 GXQ327596 GNU327596 GDY327596 FUC327596 FKG327596 FAK327596 EQO327596 EGS327596 DWW327596 DNA327596 DDE327596 CTI327596 CJM327596 BZQ327596 BPU327596 BFY327596 AWC327596 AMG327596 ACK327596 SO327596 IS327596 WVE262077:WVE262082 WLI262077:WLI262082 WBM262077:WBM262082 VRQ262077:VRQ262082 VHU262077:VHU262082 UXY262077:UXY262082 UOC262077:UOC262082 UEG262077:UEG262082 TUK262077:TUK262082 TKO262077:TKO262082 TAS262077:TAS262082 SQW262077:SQW262082 SHA262077:SHA262082 RXE262077:RXE262082 RNI262077:RNI262082 RDM262077:RDM262082 QTQ262077:QTQ262082 QJU262077:QJU262082 PZY262077:PZY262082 PQC262077:PQC262082 PGG262077:PGG262082 OWK262077:OWK262082 OMO262077:OMO262082 OCS262077:OCS262082 NSW262077:NSW262082 NJA262077:NJA262082 MZE262077:MZE262082 MPI262077:MPI262082 MFM262077:MFM262082 LVQ262077:LVQ262082 LLU262077:LLU262082 LBY262077:LBY262082 KSC262077:KSC262082 KIG262077:KIG262082 JYK262077:JYK262082 JOO262077:JOO262082 JES262077:JES262082 IUW262077:IUW262082 ILA262077:ILA262082 IBE262077:IBE262082 HRI262077:HRI262082 HHM262077:HHM262082 GXQ262077:GXQ262082 GNU262077:GNU262082 GDY262077:GDY262082 FUC262077:FUC262082 FKG262077:FKG262082 FAK262077:FAK262082 EQO262077:EQO262082 EGS262077:EGS262082 DWW262077:DWW262082 DNA262077:DNA262082 DDE262077:DDE262082 CTI262077:CTI262082 CJM262077:CJM262082 BZQ262077:BZQ262082 BPU262077:BPU262082 BFY262077:BFY262082 AWC262077:AWC262082 AMG262077:AMG262082 ACK262077:ACK262082 SO262077:SO262082 IS262077:IS262082 WVE262068 WLI262068 WBM262068 VRQ262068 VHU262068 UXY262068 UOC262068 UEG262068 TUK262068 TKO262068 TAS262068 SQW262068 SHA262068 RXE262068 RNI262068 RDM262068 QTQ262068 QJU262068 PZY262068 PQC262068 PGG262068 OWK262068 OMO262068 OCS262068 NSW262068 NJA262068 MZE262068 MPI262068 MFM262068 LVQ262068 LLU262068 LBY262068 KSC262068 KIG262068 JYK262068 JOO262068 JES262068 IUW262068 ILA262068 IBE262068 HRI262068 HHM262068 GXQ262068 GNU262068 GDY262068 FUC262068 FKG262068 FAK262068 EQO262068 EGS262068 DWW262068 DNA262068 DDE262068 CTI262068 CJM262068 BZQ262068 BPU262068 BFY262068 AWC262068 AMG262068 ACK262068 SO262068 IS262068 WVE262066 WLI262066 WBM262066 VRQ262066 VHU262066 UXY262066 UOC262066 UEG262066 TUK262066 TKO262066 TAS262066 SQW262066 SHA262066 RXE262066 RNI262066 RDM262066 QTQ262066 QJU262066 PZY262066 PQC262066 PGG262066 OWK262066 OMO262066 OCS262066 NSW262066 NJA262066 MZE262066 MPI262066 MFM262066 LVQ262066 LLU262066 LBY262066 KSC262066 KIG262066 JYK262066 JOO262066 JES262066 IUW262066 ILA262066 IBE262066 HRI262066 HHM262066 GXQ262066 GNU262066 GDY262066 FUC262066 FKG262066 FAK262066 EQO262066 EGS262066 DWW262066 DNA262066 DDE262066 CTI262066 CJM262066 BZQ262066 BPU262066 BFY262066 AWC262066 AMG262066 ACK262066 SO262066 IS262066 WVE262062 WLI262062 WBM262062 VRQ262062 VHU262062 UXY262062 UOC262062 UEG262062 TUK262062 TKO262062 TAS262062 SQW262062 SHA262062 RXE262062 RNI262062 RDM262062 QTQ262062 QJU262062 PZY262062 PQC262062 PGG262062 OWK262062 OMO262062 OCS262062 NSW262062 NJA262062 MZE262062 MPI262062 MFM262062 LVQ262062 LLU262062 LBY262062 KSC262062 KIG262062 JYK262062 JOO262062 JES262062 IUW262062 ILA262062 IBE262062 HRI262062 HHM262062 GXQ262062 GNU262062 GDY262062 FUC262062 FKG262062 FAK262062 EQO262062 EGS262062 DWW262062 DNA262062 DDE262062 CTI262062 CJM262062 BZQ262062 BPU262062 BFY262062 AWC262062 AMG262062 ACK262062 SO262062 IS262062 WVE262060 WLI262060 WBM262060 VRQ262060 VHU262060 UXY262060 UOC262060 UEG262060 TUK262060 TKO262060 TAS262060 SQW262060 SHA262060 RXE262060 RNI262060 RDM262060 QTQ262060 QJU262060 PZY262060 PQC262060 PGG262060 OWK262060 OMO262060 OCS262060 NSW262060 NJA262060 MZE262060 MPI262060 MFM262060 LVQ262060 LLU262060 LBY262060 KSC262060 KIG262060 JYK262060 JOO262060 JES262060 IUW262060 ILA262060 IBE262060 HRI262060 HHM262060 GXQ262060 GNU262060 GDY262060 FUC262060 FKG262060 FAK262060 EQO262060 EGS262060 DWW262060 DNA262060 DDE262060 CTI262060 CJM262060 BZQ262060 BPU262060 BFY262060 AWC262060 AMG262060 ACK262060 SO262060 IS262060 WVE196541:WVE196546 WLI196541:WLI196546 WBM196541:WBM196546 VRQ196541:VRQ196546 VHU196541:VHU196546 UXY196541:UXY196546 UOC196541:UOC196546 UEG196541:UEG196546 TUK196541:TUK196546 TKO196541:TKO196546 TAS196541:TAS196546 SQW196541:SQW196546 SHA196541:SHA196546 RXE196541:RXE196546 RNI196541:RNI196546 RDM196541:RDM196546 QTQ196541:QTQ196546 QJU196541:QJU196546 PZY196541:PZY196546 PQC196541:PQC196546 PGG196541:PGG196546 OWK196541:OWK196546 OMO196541:OMO196546 OCS196541:OCS196546 NSW196541:NSW196546 NJA196541:NJA196546 MZE196541:MZE196546 MPI196541:MPI196546 MFM196541:MFM196546 LVQ196541:LVQ196546 LLU196541:LLU196546 LBY196541:LBY196546 KSC196541:KSC196546 KIG196541:KIG196546 JYK196541:JYK196546 JOO196541:JOO196546 JES196541:JES196546 IUW196541:IUW196546 ILA196541:ILA196546 IBE196541:IBE196546 HRI196541:HRI196546 HHM196541:HHM196546 GXQ196541:GXQ196546 GNU196541:GNU196546 GDY196541:GDY196546 FUC196541:FUC196546 FKG196541:FKG196546 FAK196541:FAK196546 EQO196541:EQO196546 EGS196541:EGS196546 DWW196541:DWW196546 DNA196541:DNA196546 DDE196541:DDE196546 CTI196541:CTI196546 CJM196541:CJM196546 BZQ196541:BZQ196546 BPU196541:BPU196546 BFY196541:BFY196546 AWC196541:AWC196546 AMG196541:AMG196546 ACK196541:ACK196546 SO196541:SO196546 IS196541:IS196546 WVE196532 WLI196532 WBM196532 VRQ196532 VHU196532 UXY196532 UOC196532 UEG196532 TUK196532 TKO196532 TAS196532 SQW196532 SHA196532 RXE196532 RNI196532 RDM196532 QTQ196532 QJU196532 PZY196532 PQC196532 PGG196532 OWK196532 OMO196532 OCS196532 NSW196532 NJA196532 MZE196532 MPI196532 MFM196532 LVQ196532 LLU196532 LBY196532 KSC196532 KIG196532 JYK196532 JOO196532 JES196532 IUW196532 ILA196532 IBE196532 HRI196532 HHM196532 GXQ196532 GNU196532 GDY196532 FUC196532 FKG196532 FAK196532 EQO196532 EGS196532 DWW196532 DNA196532 DDE196532 CTI196532 CJM196532 BZQ196532 BPU196532 BFY196532 AWC196532 AMG196532 ACK196532 SO196532 IS196532 WVE196530 WLI196530 WBM196530 VRQ196530 VHU196530 UXY196530 UOC196530 UEG196530 TUK196530 TKO196530 TAS196530 SQW196530 SHA196530 RXE196530 RNI196530 RDM196530 QTQ196530 QJU196530 PZY196530 PQC196530 PGG196530 OWK196530 OMO196530 OCS196530 NSW196530 NJA196530 MZE196530 MPI196530 MFM196530 LVQ196530 LLU196530 LBY196530 KSC196530 KIG196530 JYK196530 JOO196530 JES196530 IUW196530 ILA196530 IBE196530 HRI196530 HHM196530 GXQ196530 GNU196530 GDY196530 FUC196530 FKG196530 FAK196530 EQO196530 EGS196530 DWW196530 DNA196530 DDE196530 CTI196530 CJM196530 BZQ196530 BPU196530 BFY196530 AWC196530 AMG196530 ACK196530 SO196530 IS196530 WVE196526 WLI196526 WBM196526 VRQ196526 VHU196526 UXY196526 UOC196526 UEG196526 TUK196526 TKO196526 TAS196526 SQW196526 SHA196526 RXE196526 RNI196526 RDM196526 QTQ196526 QJU196526 PZY196526 PQC196526 PGG196526 OWK196526 OMO196526 OCS196526 NSW196526 NJA196526 MZE196526 MPI196526 MFM196526 LVQ196526 LLU196526 LBY196526 KSC196526 KIG196526 JYK196526 JOO196526 JES196526 IUW196526 ILA196526 IBE196526 HRI196526 HHM196526 GXQ196526 GNU196526 GDY196526 FUC196526 FKG196526 FAK196526 EQO196526 EGS196526 DWW196526 DNA196526 DDE196526 CTI196526 CJM196526 BZQ196526 BPU196526 BFY196526 AWC196526 AMG196526 ACK196526 SO196526 IS196526 WVE196524 WLI196524 WBM196524 VRQ196524 VHU196524 UXY196524 UOC196524 UEG196524 TUK196524 TKO196524 TAS196524 SQW196524 SHA196524 RXE196524 RNI196524 RDM196524 QTQ196524 QJU196524 PZY196524 PQC196524 PGG196524 OWK196524 OMO196524 OCS196524 NSW196524 NJA196524 MZE196524 MPI196524 MFM196524 LVQ196524 LLU196524 LBY196524 KSC196524 KIG196524 JYK196524 JOO196524 JES196524 IUW196524 ILA196524 IBE196524 HRI196524 HHM196524 GXQ196524 GNU196524 GDY196524 FUC196524 FKG196524 FAK196524 EQO196524 EGS196524 DWW196524 DNA196524 DDE196524 CTI196524 CJM196524 BZQ196524 BPU196524 BFY196524 AWC196524 AMG196524 ACK196524 SO196524 IS196524 WVE131005:WVE131010 WLI131005:WLI131010 WBM131005:WBM131010 VRQ131005:VRQ131010 VHU131005:VHU131010 UXY131005:UXY131010 UOC131005:UOC131010 UEG131005:UEG131010 TUK131005:TUK131010 TKO131005:TKO131010 TAS131005:TAS131010 SQW131005:SQW131010 SHA131005:SHA131010 RXE131005:RXE131010 RNI131005:RNI131010 RDM131005:RDM131010 QTQ131005:QTQ131010 QJU131005:QJU131010 PZY131005:PZY131010 PQC131005:PQC131010 PGG131005:PGG131010 OWK131005:OWK131010 OMO131005:OMO131010 OCS131005:OCS131010 NSW131005:NSW131010 NJA131005:NJA131010 MZE131005:MZE131010 MPI131005:MPI131010 MFM131005:MFM131010 LVQ131005:LVQ131010 LLU131005:LLU131010 LBY131005:LBY131010 KSC131005:KSC131010 KIG131005:KIG131010 JYK131005:JYK131010 JOO131005:JOO131010 JES131005:JES131010 IUW131005:IUW131010 ILA131005:ILA131010 IBE131005:IBE131010 HRI131005:HRI131010 HHM131005:HHM131010 GXQ131005:GXQ131010 GNU131005:GNU131010 GDY131005:GDY131010 FUC131005:FUC131010 FKG131005:FKG131010 FAK131005:FAK131010 EQO131005:EQO131010 EGS131005:EGS131010 DWW131005:DWW131010 DNA131005:DNA131010 DDE131005:DDE131010 CTI131005:CTI131010 CJM131005:CJM131010 BZQ131005:BZQ131010 BPU131005:BPU131010 BFY131005:BFY131010 AWC131005:AWC131010 AMG131005:AMG131010 ACK131005:ACK131010 SO131005:SO131010 IS131005:IS131010 WVE130996 WLI130996 WBM130996 VRQ130996 VHU130996 UXY130996 UOC130996 UEG130996 TUK130996 TKO130996 TAS130996 SQW130996 SHA130996 RXE130996 RNI130996 RDM130996 QTQ130996 QJU130996 PZY130996 PQC130996 PGG130996 OWK130996 OMO130996 OCS130996 NSW130996 NJA130996 MZE130996 MPI130996 MFM130996 LVQ130996 LLU130996 LBY130996 KSC130996 KIG130996 JYK130996 JOO130996 JES130996 IUW130996 ILA130996 IBE130996 HRI130996 HHM130996 GXQ130996 GNU130996 GDY130996 FUC130996 FKG130996 FAK130996 EQO130996 EGS130996 DWW130996 DNA130996 DDE130996 CTI130996 CJM130996 BZQ130996 BPU130996 BFY130996 AWC130996 AMG130996 ACK130996 SO130996 IS130996 WVE130994 WLI130994 WBM130994 VRQ130994 VHU130994 UXY130994 UOC130994 UEG130994 TUK130994 TKO130994 TAS130994 SQW130994 SHA130994 RXE130994 RNI130994 RDM130994 QTQ130994 QJU130994 PZY130994 PQC130994 PGG130994 OWK130994 OMO130994 OCS130994 NSW130994 NJA130994 MZE130994 MPI130994 MFM130994 LVQ130994 LLU130994 LBY130994 KSC130994 KIG130994 JYK130994 JOO130994 JES130994 IUW130994 ILA130994 IBE130994 HRI130994 HHM130994 GXQ130994 GNU130994 GDY130994 FUC130994 FKG130994 FAK130994 EQO130994 EGS130994 DWW130994 DNA130994 DDE130994 CTI130994 CJM130994 BZQ130994 BPU130994 BFY130994 AWC130994 AMG130994 ACK130994 SO130994 IS130994 WVE130990 WLI130990 WBM130990 VRQ130990 VHU130990 UXY130990 UOC130990 UEG130990 TUK130990 TKO130990 TAS130990 SQW130990 SHA130990 RXE130990 RNI130990 RDM130990 QTQ130990 QJU130990 PZY130990 PQC130990 PGG130990 OWK130990 OMO130990 OCS130990 NSW130990 NJA130990 MZE130990 MPI130990 MFM130990 LVQ130990 LLU130990 LBY130990 KSC130990 KIG130990 JYK130990 JOO130990 JES130990 IUW130990 ILA130990 IBE130990 HRI130990 HHM130990 GXQ130990 GNU130990 GDY130990 FUC130990 FKG130990 FAK130990 EQO130990 EGS130990 DWW130990 DNA130990 DDE130990 CTI130990 CJM130990 BZQ130990 BPU130990 BFY130990 AWC130990 AMG130990 ACK130990 SO130990 IS130990 WVE130988 WLI130988 WBM130988 VRQ130988 VHU130988 UXY130988 UOC130988 UEG130988 TUK130988 TKO130988 TAS130988 SQW130988 SHA130988 RXE130988 RNI130988 RDM130988 QTQ130988 QJU130988 PZY130988 PQC130988 PGG130988 OWK130988 OMO130988 OCS130988 NSW130988 NJA130988 MZE130988 MPI130988 MFM130988 LVQ130988 LLU130988 LBY130988 KSC130988 KIG130988 JYK130988 JOO130988 JES130988 IUW130988 ILA130988 IBE130988 HRI130988 HHM130988 GXQ130988 GNU130988 GDY130988 FUC130988 FKG130988 FAK130988 EQO130988 EGS130988 DWW130988 DNA130988 DDE130988 CTI130988 CJM130988 BZQ130988 BPU130988 BFY130988 AWC130988 AMG130988 ACK130988 SO130988 IS130988 WVE65469:WVE65474 WLI65469:WLI65474 WBM65469:WBM65474 VRQ65469:VRQ65474 VHU65469:VHU65474 UXY65469:UXY65474 UOC65469:UOC65474 UEG65469:UEG65474 TUK65469:TUK65474 TKO65469:TKO65474 TAS65469:TAS65474 SQW65469:SQW65474 SHA65469:SHA65474 RXE65469:RXE65474 RNI65469:RNI65474 RDM65469:RDM65474 QTQ65469:QTQ65474 QJU65469:QJU65474 PZY65469:PZY65474 PQC65469:PQC65474 PGG65469:PGG65474 OWK65469:OWK65474 OMO65469:OMO65474 OCS65469:OCS65474 NSW65469:NSW65474 NJA65469:NJA65474 MZE65469:MZE65474 MPI65469:MPI65474 MFM65469:MFM65474 LVQ65469:LVQ65474 LLU65469:LLU65474 LBY65469:LBY65474 KSC65469:KSC65474 KIG65469:KIG65474 JYK65469:JYK65474 JOO65469:JOO65474 JES65469:JES65474 IUW65469:IUW65474 ILA65469:ILA65474 IBE65469:IBE65474 HRI65469:HRI65474 HHM65469:HHM65474 GXQ65469:GXQ65474 GNU65469:GNU65474 GDY65469:GDY65474 FUC65469:FUC65474 FKG65469:FKG65474 FAK65469:FAK65474 EQO65469:EQO65474 EGS65469:EGS65474 DWW65469:DWW65474 DNA65469:DNA65474 DDE65469:DDE65474 CTI65469:CTI65474 CJM65469:CJM65474 BZQ65469:BZQ65474 BPU65469:BPU65474 BFY65469:BFY65474 AWC65469:AWC65474 AMG65469:AMG65474 ACK65469:ACK65474 SO65469:SO65474 IS65469:IS65474 WVE65460 WLI65460 WBM65460 VRQ65460 VHU65460 UXY65460 UOC65460 UEG65460 TUK65460 TKO65460 TAS65460 SQW65460 SHA65460 RXE65460 RNI65460 RDM65460 QTQ65460 QJU65460 PZY65460 PQC65460 PGG65460 OWK65460 OMO65460 OCS65460 NSW65460 NJA65460 MZE65460 MPI65460 MFM65460 LVQ65460 LLU65460 LBY65460 KSC65460 KIG65460 JYK65460 JOO65460 JES65460 IUW65460 ILA65460 IBE65460 HRI65460 HHM65460 GXQ65460 GNU65460 GDY65460 FUC65460 FKG65460 FAK65460 EQO65460 EGS65460 DWW65460 DNA65460 DDE65460 CTI65460 CJM65460 BZQ65460 BPU65460 BFY65460 AWC65460 AMG65460 ACK65460 SO65460 IS65460 WVE65458 WLI65458 WBM65458 VRQ65458 VHU65458 UXY65458 UOC65458 UEG65458 TUK65458 TKO65458 TAS65458 SQW65458 SHA65458 RXE65458 RNI65458 RDM65458 QTQ65458 QJU65458 PZY65458 PQC65458 PGG65458 OWK65458 OMO65458 OCS65458 NSW65458 NJA65458 MZE65458 MPI65458 MFM65458 LVQ65458 LLU65458 LBY65458 KSC65458 KIG65458 JYK65458 JOO65458 JES65458 IUW65458 ILA65458 IBE65458 HRI65458 HHM65458 GXQ65458 GNU65458 GDY65458 FUC65458 FKG65458 FAK65458 EQO65458 EGS65458 DWW65458 DNA65458 DDE65458 CTI65458 CJM65458 BZQ65458 BPU65458 BFY65458 AWC65458 AMG65458 ACK65458 SO65458 IS65458 WVE65454 WLI65454 WBM65454 VRQ65454 VHU65454 UXY65454 UOC65454 UEG65454 TUK65454 TKO65454 TAS65454 SQW65454 SHA65454 RXE65454 RNI65454 RDM65454 QTQ65454 QJU65454 PZY65454 PQC65454 PGG65454 OWK65454 OMO65454 OCS65454 NSW65454 NJA65454 MZE65454 MPI65454 MFM65454 LVQ65454 LLU65454 LBY65454 KSC65454 KIG65454 JYK65454 JOO65454 JES65454 IUW65454 ILA65454 IBE65454 HRI65454 HHM65454 GXQ65454 GNU65454 GDY65454 FUC65454 FKG65454 FAK65454 EQO65454 EGS65454 DWW65454 DNA65454 DDE65454 CTI65454 CJM65454 BZQ65454 BPU65454 BFY65454 AWC65454 AMG65454 ACK65454 SO65454 IS65454 WVE65452 WLI65452 WBM65452 VRQ65452 VHU65452 UXY65452 UOC65452 UEG65452 TUK65452 TKO65452 TAS65452 SQW65452 SHA65452 RXE65452 RNI65452 RDM65452 QTQ65452 QJU65452 PZY65452 PQC65452 PGG65452 OWK65452 OMO65452 OCS65452 NSW65452 NJA65452 MZE65452 MPI65452 MFM65452 LVQ65452 LLU65452 LBY65452 KSC65452 KIG65452 JYK65452 JOO65452 JES65452 IUW65452 ILA65452 IBE65452 HRI65452 HHM65452 GXQ65452 GNU65452 GDY65452 FUC65452 FKG65452 FAK65452 EQO65452 EGS65452 DWW65452 DNA65452 DDE65452 CTI65452 CJM65452 BZQ65452 BPU65452 BFY65452 AWC65452 AMG65452 ACK65452 SO65452 ACK5:ACK9 SO5:SO9 IS5:IS9 WVE5:WVE9 WLI5:WLI9 WBM5:WBM9 VRQ5:VRQ9 VHU5:VHU9 UXY5:UXY9 UOC5:UOC9 UEG5:UEG9 TUK5:TUK9 TKO5:TKO9 TAS5:TAS9 SQW5:SQW9 SHA5:SHA9 RXE5:RXE9 RNI5:RNI9 RDM5:RDM9 QTQ5:QTQ9 QJU5:QJU9 PZY5:PZY9 PQC5:PQC9 PGG5:PGG9 OWK5:OWK9 OMO5:OMO9 OCS5:OCS9 NSW5:NSW9 NJA5:NJA9 MZE5:MZE9 MPI5:MPI9 MFM5:MFM9 LVQ5:LVQ9 LLU5:LLU9 LBY5:LBY9 KSC5:KSC9 KIG5:KIG9 JYK5:JYK9 JOO5:JOO9 JES5:JES9 IUW5:IUW9 ILA5:ILA9 IBE5:IBE9 HRI5:HRI9 HHM5:HHM9 GXQ5:GXQ9 GNU5:GNU9 GDY5:GDY9 FUC5:FUC9 FKG5:FKG9 FAK5:FAK9 EQO5:EQO9 EGS5:EGS9 DWW5:DWW9 DNA5:DNA9 DDE5:DDE9 CTI5:CTI9 CJM5:CJM9 BZQ5:BZQ9 BPU5:BPU9 BFY5:BFY9 AWC5:AWC9 AMG5:AMG9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A1:P54"/>
  <sheetViews>
    <sheetView zoomScale="90" zoomScaleNormal="90" zoomScaleSheetLayoutView="64" workbookViewId="0">
      <pane ySplit="1" topLeftCell="A2" activePane="bottomLeft" state="frozen"/>
      <selection pane="bottomLeft" activeCell="D18" sqref="D18"/>
    </sheetView>
  </sheetViews>
  <sheetFormatPr defaultColWidth="9" defaultRowHeight="19.899999999999999" customHeight="1"/>
  <cols>
    <col min="1" max="1" width="22.28515625" style="3" customWidth="1"/>
    <col min="2" max="2" width="15.140625" style="23" customWidth="1"/>
    <col min="3" max="3" width="16.7109375" style="23" customWidth="1"/>
    <col min="4" max="4" width="14.42578125" style="1" customWidth="1"/>
    <col min="5" max="5" width="4.42578125" style="23" customWidth="1"/>
    <col min="6" max="6" width="32.28515625" style="23" customWidth="1"/>
    <col min="7" max="9" width="17.42578125" style="3" customWidth="1"/>
    <col min="10" max="10" width="13.7109375" style="3" customWidth="1"/>
    <col min="11" max="11" width="14" style="3" customWidth="1"/>
    <col min="12" max="12" width="14.42578125" style="3" customWidth="1"/>
    <col min="13" max="15" width="9" style="3" customWidth="1"/>
    <col min="16" max="16" width="15.7109375" style="23" bestFit="1" customWidth="1"/>
    <col min="17" max="18" width="9" style="3"/>
    <col min="19" max="19" width="10.42578125" style="3" customWidth="1"/>
    <col min="20" max="16384" width="9" style="3"/>
  </cols>
  <sheetData>
    <row r="1" spans="1:16" s="18" customFormat="1" ht="19.899999999999999" customHeight="1">
      <c r="A1" s="86" t="s">
        <v>23</v>
      </c>
      <c r="B1" s="70" t="s">
        <v>35</v>
      </c>
      <c r="C1" s="70" t="s">
        <v>36</v>
      </c>
      <c r="D1" s="124" t="s">
        <v>96</v>
      </c>
      <c r="E1" s="37"/>
      <c r="F1" s="86" t="s">
        <v>23</v>
      </c>
      <c r="G1" s="70" t="s">
        <v>35</v>
      </c>
      <c r="H1" s="70" t="s">
        <v>36</v>
      </c>
      <c r="I1" s="124" t="s">
        <v>96</v>
      </c>
      <c r="P1" s="20"/>
    </row>
    <row r="2" spans="1:16" s="18" customFormat="1" ht="19.899999999999999" customHeight="1">
      <c r="A2" s="88" t="s">
        <v>37</v>
      </c>
      <c r="B2" s="5">
        <v>0.84</v>
      </c>
      <c r="C2" s="50"/>
      <c r="D2" s="125" t="s">
        <v>77</v>
      </c>
      <c r="E2" s="44"/>
      <c r="F2" s="118" t="s">
        <v>37</v>
      </c>
      <c r="G2" s="57">
        <v>0.1</v>
      </c>
      <c r="H2" s="57"/>
      <c r="I2" s="125" t="s">
        <v>105</v>
      </c>
      <c r="P2" s="20"/>
    </row>
    <row r="3" spans="1:16" s="18" customFormat="1" ht="19.899999999999999" customHeight="1">
      <c r="A3" s="87" t="s">
        <v>28</v>
      </c>
      <c r="B3" s="73">
        <f>SUM(B2)</f>
        <v>0.84</v>
      </c>
      <c r="C3" s="73">
        <f>SUM(C2)</f>
        <v>0</v>
      </c>
      <c r="D3" s="7" t="e">
        <f>#REF!</f>
        <v>#REF!</v>
      </c>
      <c r="E3" s="44"/>
      <c r="F3" s="62" t="s">
        <v>12</v>
      </c>
      <c r="G3" s="50"/>
      <c r="H3" s="50">
        <v>5</v>
      </c>
      <c r="I3" s="125" t="s">
        <v>105</v>
      </c>
      <c r="P3" s="20"/>
    </row>
    <row r="4" spans="1:16" s="18" customFormat="1" ht="19.899999999999999" customHeight="1">
      <c r="A4" s="86" t="s">
        <v>23</v>
      </c>
      <c r="B4" s="70" t="s">
        <v>35</v>
      </c>
      <c r="C4" s="70" t="s">
        <v>36</v>
      </c>
      <c r="D4" s="124" t="s">
        <v>96</v>
      </c>
      <c r="E4" s="44"/>
      <c r="F4" s="62"/>
      <c r="G4" s="50"/>
      <c r="H4" s="50"/>
      <c r="I4" s="125" t="s">
        <v>105</v>
      </c>
      <c r="P4" s="20"/>
    </row>
    <row r="5" spans="1:16" s="18" customFormat="1" ht="19.899999999999999" customHeight="1">
      <c r="A5" s="88" t="s">
        <v>37</v>
      </c>
      <c r="B5" s="50">
        <v>0.2</v>
      </c>
      <c r="C5" s="50"/>
      <c r="D5" s="125" t="s">
        <v>105</v>
      </c>
      <c r="E5" s="44"/>
      <c r="F5" s="62"/>
      <c r="G5" s="50"/>
      <c r="H5" s="50"/>
      <c r="I5" s="125" t="s">
        <v>105</v>
      </c>
      <c r="P5" s="20"/>
    </row>
    <row r="6" spans="1:16" s="18" customFormat="1" ht="19.899999999999999" customHeight="1">
      <c r="A6" s="62" t="s">
        <v>67</v>
      </c>
      <c r="B6" s="50"/>
      <c r="C6" s="50"/>
      <c r="D6" s="125" t="s">
        <v>105</v>
      </c>
      <c r="E6" s="44"/>
      <c r="F6" s="62"/>
      <c r="G6" s="57"/>
      <c r="H6" s="57"/>
      <c r="I6" s="125" t="s">
        <v>105</v>
      </c>
    </row>
    <row r="7" spans="1:16" s="18" customFormat="1" ht="19.899999999999999" customHeight="1">
      <c r="A7" s="87" t="s">
        <v>28</v>
      </c>
      <c r="B7" s="73">
        <f>SUM(B5:B6)</f>
        <v>0.2</v>
      </c>
      <c r="C7" s="73">
        <f>SUM(C5:C6)</f>
        <v>0</v>
      </c>
      <c r="D7" s="126" t="e">
        <f>#REF!</f>
        <v>#REF!</v>
      </c>
      <c r="E7" s="49"/>
      <c r="F7" s="87" t="s">
        <v>28</v>
      </c>
      <c r="G7" s="73">
        <f>SUM(G2:G6)</f>
        <v>0.1</v>
      </c>
      <c r="H7" s="73">
        <f>SUM(H2:H6)</f>
        <v>5</v>
      </c>
      <c r="I7" s="126" t="e">
        <f>#REF!</f>
        <v>#REF!</v>
      </c>
      <c r="P7" s="20"/>
    </row>
    <row r="8" spans="1:16" s="18" customFormat="1" ht="19.899999999999999" customHeight="1">
      <c r="A8" s="118" t="s">
        <v>37</v>
      </c>
      <c r="B8" s="57">
        <v>64.739999999999995</v>
      </c>
      <c r="C8" s="57"/>
      <c r="D8" s="125" t="s">
        <v>110</v>
      </c>
      <c r="E8" s="44"/>
      <c r="F8" s="132" t="s">
        <v>66</v>
      </c>
      <c r="G8" s="57">
        <v>1200</v>
      </c>
      <c r="H8" s="57"/>
      <c r="I8" s="125" t="s">
        <v>80</v>
      </c>
      <c r="P8" s="20"/>
    </row>
    <row r="9" spans="1:16" s="18" customFormat="1" ht="19.899999999999999" customHeight="1">
      <c r="A9" s="118" t="s">
        <v>46</v>
      </c>
      <c r="B9" s="57">
        <v>1169.24</v>
      </c>
      <c r="C9" s="141">
        <v>41.24</v>
      </c>
      <c r="D9" s="125" t="s">
        <v>110</v>
      </c>
      <c r="E9" s="44"/>
      <c r="F9" s="133" t="s">
        <v>1</v>
      </c>
      <c r="G9" s="50"/>
      <c r="H9" s="50">
        <v>750</v>
      </c>
      <c r="I9" s="125" t="s">
        <v>80</v>
      </c>
      <c r="P9" s="20"/>
    </row>
    <row r="10" spans="1:16" s="18" customFormat="1" ht="19.899999999999999" customHeight="1">
      <c r="A10" s="62" t="s">
        <v>63</v>
      </c>
      <c r="B10" s="50"/>
      <c r="C10" s="50">
        <v>50000</v>
      </c>
      <c r="D10" s="125" t="s">
        <v>110</v>
      </c>
      <c r="E10" s="21"/>
      <c r="F10" s="62"/>
      <c r="G10" s="50"/>
      <c r="H10" s="50"/>
      <c r="I10" s="125" t="s">
        <v>80</v>
      </c>
      <c r="P10" s="20"/>
    </row>
    <row r="11" spans="1:16" s="18" customFormat="1" ht="19.899999999999999" customHeight="1">
      <c r="A11" s="62" t="s">
        <v>12</v>
      </c>
      <c r="B11" s="50"/>
      <c r="C11" s="50">
        <v>48.16</v>
      </c>
      <c r="D11" s="125" t="s">
        <v>110</v>
      </c>
      <c r="E11" s="21"/>
      <c r="F11" s="62"/>
      <c r="G11" s="50"/>
      <c r="H11" s="50"/>
      <c r="I11" s="125" t="s">
        <v>80</v>
      </c>
      <c r="P11" s="20"/>
    </row>
    <row r="12" spans="1:16" s="18" customFormat="1" ht="19.899999999999999" customHeight="1">
      <c r="A12" s="62" t="s">
        <v>1</v>
      </c>
      <c r="B12" s="50"/>
      <c r="C12" s="50">
        <v>9.7799999999999994</v>
      </c>
      <c r="D12" s="125" t="s">
        <v>110</v>
      </c>
      <c r="E12" s="21"/>
      <c r="F12" s="72" t="s">
        <v>28</v>
      </c>
      <c r="G12" s="73">
        <f>SUM(G8:G11)</f>
        <v>1200</v>
      </c>
      <c r="H12" s="73">
        <f>SUM(H8:H11)</f>
        <v>750</v>
      </c>
      <c r="I12" s="126" t="e">
        <f>#REF!</f>
        <v>#REF!</v>
      </c>
      <c r="P12" s="20"/>
    </row>
    <row r="13" spans="1:16" s="18" customFormat="1" ht="19.899999999999999" customHeight="1">
      <c r="A13" s="62" t="s">
        <v>64</v>
      </c>
      <c r="B13" s="50"/>
      <c r="C13" s="50">
        <v>124.25999999999999</v>
      </c>
      <c r="D13" s="125" t="s">
        <v>110</v>
      </c>
      <c r="E13" s="21"/>
      <c r="F13" s="118" t="s">
        <v>59</v>
      </c>
      <c r="G13" s="57">
        <v>1280</v>
      </c>
      <c r="H13" s="57"/>
      <c r="I13" s="125" t="s">
        <v>81</v>
      </c>
      <c r="P13" s="20"/>
    </row>
    <row r="14" spans="1:16" s="18" customFormat="1" ht="19.899999999999999" customHeight="1">
      <c r="A14" s="62" t="s">
        <v>40</v>
      </c>
      <c r="B14" s="50"/>
      <c r="C14" s="50">
        <v>573.34</v>
      </c>
      <c r="D14" s="125" t="s">
        <v>110</v>
      </c>
      <c r="E14" s="21"/>
      <c r="F14" s="118" t="s">
        <v>95</v>
      </c>
      <c r="G14" s="57"/>
      <c r="H14" s="57">
        <v>1128</v>
      </c>
      <c r="I14" s="125" t="s">
        <v>81</v>
      </c>
      <c r="P14" s="20"/>
    </row>
    <row r="15" spans="1:16" s="18" customFormat="1" ht="19.899999999999999" customHeight="1">
      <c r="A15" s="62" t="s">
        <v>62</v>
      </c>
      <c r="B15" s="50"/>
      <c r="C15" s="50">
        <v>1280</v>
      </c>
      <c r="D15" s="125" t="s">
        <v>110</v>
      </c>
      <c r="E15" s="21"/>
      <c r="F15" s="62" t="s">
        <v>71</v>
      </c>
      <c r="G15" s="50"/>
      <c r="H15" s="50">
        <v>8.5</v>
      </c>
      <c r="I15" s="125" t="s">
        <v>81</v>
      </c>
      <c r="P15" s="20"/>
    </row>
    <row r="16" spans="1:16" s="18" customFormat="1" ht="19.899999999999999" customHeight="1">
      <c r="A16" s="62" t="s">
        <v>38</v>
      </c>
      <c r="B16" s="50"/>
      <c r="C16" s="50">
        <v>2240</v>
      </c>
      <c r="D16" s="125" t="s">
        <v>110</v>
      </c>
      <c r="E16" s="21"/>
      <c r="F16" s="62" t="s">
        <v>72</v>
      </c>
      <c r="G16" s="50"/>
      <c r="H16" s="50">
        <v>64.8</v>
      </c>
      <c r="I16" s="125" t="s">
        <v>81</v>
      </c>
      <c r="P16" s="20"/>
    </row>
    <row r="17" spans="1:16" s="18" customFormat="1" ht="19.899999999999999" customHeight="1">
      <c r="A17" s="62" t="s">
        <v>47</v>
      </c>
      <c r="B17" s="50"/>
      <c r="C17" s="50">
        <v>831.16</v>
      </c>
      <c r="D17" s="125" t="s">
        <v>110</v>
      </c>
      <c r="E17" s="21"/>
      <c r="F17" s="62" t="s">
        <v>86</v>
      </c>
      <c r="G17" s="50"/>
      <c r="H17" s="50">
        <v>3.7</v>
      </c>
      <c r="I17" s="125" t="s">
        <v>81</v>
      </c>
      <c r="P17" s="20"/>
    </row>
    <row r="18" spans="1:16" s="18" customFormat="1" ht="19.899999999999999" customHeight="1">
      <c r="A18" s="62" t="s">
        <v>41</v>
      </c>
      <c r="B18" s="50"/>
      <c r="C18" s="50">
        <v>9977.43</v>
      </c>
      <c r="D18" s="125" t="s">
        <v>110</v>
      </c>
      <c r="E18" s="20"/>
      <c r="F18" s="123" t="s">
        <v>87</v>
      </c>
      <c r="G18" s="50"/>
      <c r="H18" s="50">
        <v>10</v>
      </c>
      <c r="I18" s="125" t="s">
        <v>81</v>
      </c>
      <c r="P18" s="20"/>
    </row>
    <row r="19" spans="1:16" ht="19.899999999999999" customHeight="1">
      <c r="A19" s="62" t="s">
        <v>25</v>
      </c>
      <c r="B19" s="50"/>
      <c r="C19" s="50">
        <v>5051.3900000000003</v>
      </c>
      <c r="D19" s="125" t="s">
        <v>110</v>
      </c>
      <c r="F19" s="62" t="s">
        <v>73</v>
      </c>
      <c r="G19" s="50"/>
      <c r="H19" s="50">
        <v>65</v>
      </c>
      <c r="I19" s="125" t="s">
        <v>81</v>
      </c>
    </row>
    <row r="20" spans="1:16" ht="19.899999999999999" customHeight="1">
      <c r="A20" s="62" t="s">
        <v>26</v>
      </c>
      <c r="B20" s="50"/>
      <c r="C20" s="50">
        <v>38.5</v>
      </c>
      <c r="D20" s="125" t="s">
        <v>110</v>
      </c>
      <c r="F20" s="123"/>
      <c r="G20" s="50"/>
      <c r="H20" s="50"/>
      <c r="I20" s="125" t="s">
        <v>81</v>
      </c>
    </row>
    <row r="21" spans="1:16" ht="19.899999999999999" customHeight="1">
      <c r="A21" s="62" t="s">
        <v>30</v>
      </c>
      <c r="B21" s="50"/>
      <c r="C21" s="50">
        <v>95.68</v>
      </c>
      <c r="D21" s="125" t="s">
        <v>110</v>
      </c>
      <c r="F21" s="72" t="s">
        <v>28</v>
      </c>
      <c r="G21" s="73">
        <f>SUM(G13:G20)</f>
        <v>1280</v>
      </c>
      <c r="H21" s="73">
        <f>SUM(H13:H20)</f>
        <v>1280</v>
      </c>
      <c r="I21" s="73" t="e">
        <f>#REF!</f>
        <v>#REF!</v>
      </c>
    </row>
    <row r="22" spans="1:16" ht="19.899999999999999" customHeight="1">
      <c r="A22" s="62" t="s">
        <v>67</v>
      </c>
      <c r="B22" s="50"/>
      <c r="C22" s="50">
        <v>2.59</v>
      </c>
      <c r="D22" s="125" t="s">
        <v>110</v>
      </c>
      <c r="F22" s="118" t="s">
        <v>59</v>
      </c>
      <c r="G22" s="57">
        <v>900</v>
      </c>
      <c r="H22" s="57"/>
      <c r="I22" s="125" t="s">
        <v>82</v>
      </c>
    </row>
    <row r="23" spans="1:16" ht="19.899999999999999" customHeight="1">
      <c r="A23" s="142" t="s">
        <v>38</v>
      </c>
      <c r="B23" s="143"/>
      <c r="C23" s="143">
        <v>1650</v>
      </c>
      <c r="D23" s="125" t="s">
        <v>110</v>
      </c>
      <c r="F23" s="118" t="s">
        <v>95</v>
      </c>
      <c r="G23" s="57"/>
      <c r="H23" s="57">
        <v>593.25</v>
      </c>
      <c r="I23" s="125" t="s">
        <v>82</v>
      </c>
    </row>
    <row r="24" spans="1:16" ht="19.899999999999999" customHeight="1">
      <c r="A24" s="142" t="s">
        <v>1</v>
      </c>
      <c r="B24" s="143"/>
      <c r="C24" s="143">
        <v>296</v>
      </c>
      <c r="D24" s="125" t="s">
        <v>110</v>
      </c>
      <c r="F24" s="62" t="s">
        <v>68</v>
      </c>
      <c r="G24" s="50"/>
      <c r="H24" s="50">
        <v>200</v>
      </c>
      <c r="I24" s="125" t="s">
        <v>82</v>
      </c>
    </row>
    <row r="25" spans="1:16" ht="19.899999999999999" customHeight="1">
      <c r="A25" s="145" t="s">
        <v>38</v>
      </c>
      <c r="B25" s="146"/>
      <c r="C25" s="146">
        <v>-1320</v>
      </c>
      <c r="D25" s="125" t="s">
        <v>110</v>
      </c>
      <c r="F25" s="62" t="s">
        <v>69</v>
      </c>
      <c r="G25" s="50"/>
      <c r="H25" s="50">
        <v>55.75</v>
      </c>
      <c r="I25" s="125" t="s">
        <v>82</v>
      </c>
    </row>
    <row r="26" spans="1:16" ht="19.899999999999999" customHeight="1">
      <c r="A26" s="72" t="s">
        <v>28</v>
      </c>
      <c r="B26" s="73">
        <f>SUM(B8:B10)</f>
        <v>1233.98</v>
      </c>
      <c r="C26" s="73">
        <f>SUM(C10:C25)</f>
        <v>70898.289999999994</v>
      </c>
      <c r="D26" s="126">
        <f>'USD-ACLEDA-HIMVYBOTH-09-2025'!K28</f>
        <v>1275.6799999999998</v>
      </c>
      <c r="F26" s="62" t="s">
        <v>89</v>
      </c>
      <c r="G26" s="50"/>
      <c r="H26" s="50">
        <v>10</v>
      </c>
      <c r="I26" s="125" t="s">
        <v>82</v>
      </c>
    </row>
    <row r="27" spans="1:16" ht="19.899999999999999" customHeight="1">
      <c r="A27" s="118" t="s">
        <v>37</v>
      </c>
      <c r="B27" s="57">
        <v>12.88</v>
      </c>
      <c r="C27" s="57"/>
      <c r="D27" s="125" t="s">
        <v>78</v>
      </c>
      <c r="F27" s="62" t="s">
        <v>70</v>
      </c>
      <c r="G27" s="50"/>
      <c r="H27" s="50">
        <v>40</v>
      </c>
      <c r="I27" s="125" t="s">
        <v>82</v>
      </c>
    </row>
    <row r="28" spans="1:16" ht="19.899999999999999" customHeight="1">
      <c r="A28" s="118" t="s">
        <v>46</v>
      </c>
      <c r="B28" s="57">
        <v>593.25</v>
      </c>
      <c r="C28" s="57"/>
      <c r="D28" s="125" t="s">
        <v>78</v>
      </c>
      <c r="F28" s="62" t="s">
        <v>90</v>
      </c>
      <c r="G28" s="50"/>
      <c r="H28" s="50">
        <v>1</v>
      </c>
      <c r="I28" s="125" t="s">
        <v>82</v>
      </c>
    </row>
    <row r="29" spans="1:16" ht="19.899999999999999" customHeight="1">
      <c r="A29" s="118" t="s">
        <v>5</v>
      </c>
      <c r="B29" s="57">
        <v>26400</v>
      </c>
      <c r="C29" s="57"/>
      <c r="D29" s="125" t="s">
        <v>78</v>
      </c>
      <c r="F29" s="72" t="s">
        <v>28</v>
      </c>
      <c r="G29" s="73">
        <f>SUM(G22:G28)</f>
        <v>900</v>
      </c>
      <c r="H29" s="73">
        <f>SUM(H22:H28)</f>
        <v>900</v>
      </c>
      <c r="I29" s="73" t="e">
        <f>#REF!</f>
        <v>#REF!</v>
      </c>
    </row>
    <row r="30" spans="1:16" ht="19.899999999999999" customHeight="1">
      <c r="A30" s="62" t="s">
        <v>12</v>
      </c>
      <c r="B30" s="50"/>
      <c r="C30" s="50">
        <v>1.1000000000000001</v>
      </c>
      <c r="D30" s="125" t="s">
        <v>78</v>
      </c>
      <c r="F30" s="118" t="s">
        <v>59</v>
      </c>
      <c r="G30" s="57">
        <v>1000</v>
      </c>
      <c r="H30" s="57">
        <v>0</v>
      </c>
      <c r="I30" s="125" t="s">
        <v>83</v>
      </c>
    </row>
    <row r="31" spans="1:16" ht="19.899999999999999" customHeight="1">
      <c r="A31" s="62" t="s">
        <v>62</v>
      </c>
      <c r="B31" s="50"/>
      <c r="C31" s="50">
        <v>900</v>
      </c>
      <c r="D31" s="125" t="s">
        <v>78</v>
      </c>
      <c r="F31" s="118" t="s">
        <v>95</v>
      </c>
      <c r="G31" s="57">
        <v>0</v>
      </c>
      <c r="H31" s="57">
        <v>431.35500000000002</v>
      </c>
      <c r="I31" s="125" t="s">
        <v>83</v>
      </c>
    </row>
    <row r="32" spans="1:16" ht="19.899999999999999" customHeight="1">
      <c r="A32" s="62" t="s">
        <v>47</v>
      </c>
      <c r="B32" s="50"/>
      <c r="C32" s="50">
        <v>1150</v>
      </c>
      <c r="D32" s="125" t="s">
        <v>78</v>
      </c>
      <c r="F32" s="62" t="s">
        <v>91</v>
      </c>
      <c r="G32" s="50"/>
      <c r="H32" s="50">
        <v>118.93</v>
      </c>
      <c r="I32" s="125" t="s">
        <v>83</v>
      </c>
    </row>
    <row r="33" spans="1:9" ht="19.899999999999999" customHeight="1">
      <c r="A33" s="62" t="s">
        <v>41</v>
      </c>
      <c r="B33" s="50"/>
      <c r="C33" s="50">
        <v>7388.88</v>
      </c>
      <c r="D33" s="125" t="s">
        <v>78</v>
      </c>
      <c r="F33" s="62" t="s">
        <v>94</v>
      </c>
      <c r="G33" s="50"/>
      <c r="H33" s="50">
        <v>41.9</v>
      </c>
      <c r="I33" s="125" t="s">
        <v>83</v>
      </c>
    </row>
    <row r="34" spans="1:9" ht="19.899999999999999" customHeight="1">
      <c r="A34" s="62" t="s">
        <v>30</v>
      </c>
      <c r="B34" s="50"/>
      <c r="C34" s="50">
        <v>220.38</v>
      </c>
      <c r="D34" s="125" t="s">
        <v>78</v>
      </c>
      <c r="F34" s="62" t="s">
        <v>92</v>
      </c>
      <c r="G34" s="50"/>
      <c r="H34" s="50">
        <v>294.34500000000003</v>
      </c>
      <c r="I34" s="125" t="s">
        <v>83</v>
      </c>
    </row>
    <row r="35" spans="1:9" ht="19.899999999999999" customHeight="1">
      <c r="A35" s="62" t="s">
        <v>67</v>
      </c>
      <c r="B35" s="50"/>
      <c r="C35" s="50">
        <v>0.52</v>
      </c>
      <c r="D35" s="125" t="s">
        <v>78</v>
      </c>
      <c r="F35" s="62" t="s">
        <v>93</v>
      </c>
      <c r="G35" s="50"/>
      <c r="H35" s="50">
        <v>113.47</v>
      </c>
      <c r="I35" s="125" t="s">
        <v>83</v>
      </c>
    </row>
    <row r="36" spans="1:9" ht="19.899999999999999" customHeight="1">
      <c r="A36" s="72" t="s">
        <v>28</v>
      </c>
      <c r="B36" s="73">
        <f>SUM(B27:B29)</f>
        <v>27006.13</v>
      </c>
      <c r="C36" s="73">
        <f>SUM(C30:C35)</f>
        <v>9660.8799999999992</v>
      </c>
      <c r="D36" s="130" t="e">
        <f>#REF!</f>
        <v>#REF!</v>
      </c>
      <c r="F36" s="129" t="s">
        <v>28</v>
      </c>
      <c r="G36" s="73">
        <f>SUM(G30:G35)</f>
        <v>1000</v>
      </c>
      <c r="H36" s="73">
        <f>SUM(H30:H35)</f>
        <v>1000.0000000000001</v>
      </c>
      <c r="I36" s="73" t="e">
        <f>#REF!</f>
        <v>#REF!</v>
      </c>
    </row>
    <row r="37" spans="1:9" ht="19.899999999999999" customHeight="1">
      <c r="A37" s="118" t="s">
        <v>37</v>
      </c>
      <c r="B37" s="57">
        <v>10.01</v>
      </c>
      <c r="C37" s="57"/>
      <c r="D37" s="125" t="s">
        <v>79</v>
      </c>
    </row>
    <row r="38" spans="1:9" ht="19.899999999999999" customHeight="1">
      <c r="A38" s="118" t="s">
        <v>46</v>
      </c>
      <c r="B38" s="57">
        <v>431.35500000000002</v>
      </c>
      <c r="C38" s="57"/>
      <c r="D38" s="125" t="s">
        <v>79</v>
      </c>
    </row>
    <row r="39" spans="1:9" ht="19.899999999999999" customHeight="1">
      <c r="A39" s="118" t="s">
        <v>63</v>
      </c>
      <c r="B39" s="57">
        <v>50000</v>
      </c>
      <c r="C39" s="57"/>
      <c r="D39" s="125" t="s">
        <v>79</v>
      </c>
    </row>
    <row r="40" spans="1:9" ht="19.899999999999999" customHeight="1">
      <c r="A40" s="62" t="s">
        <v>34</v>
      </c>
      <c r="B40" s="50"/>
      <c r="C40" s="50">
        <v>1200</v>
      </c>
      <c r="D40" s="125" t="s">
        <v>79</v>
      </c>
    </row>
    <row r="41" spans="1:9" ht="19.899999999999999" customHeight="1">
      <c r="A41" s="62" t="s">
        <v>12</v>
      </c>
      <c r="B41" s="50"/>
      <c r="C41" s="50">
        <v>15.3</v>
      </c>
      <c r="D41" s="125" t="s">
        <v>79</v>
      </c>
    </row>
    <row r="42" spans="1:9" ht="19.899999999999999" customHeight="1">
      <c r="A42" s="62" t="s">
        <v>62</v>
      </c>
      <c r="B42" s="50"/>
      <c r="C42" s="50">
        <v>1000</v>
      </c>
      <c r="D42" s="125" t="s">
        <v>79</v>
      </c>
      <c r="I42" s="140"/>
    </row>
    <row r="43" spans="1:9" ht="19.899999999999999" customHeight="1">
      <c r="A43" s="62" t="s">
        <v>38</v>
      </c>
      <c r="B43" s="50"/>
      <c r="C43" s="50">
        <v>1696.98</v>
      </c>
      <c r="D43" s="125" t="s">
        <v>79</v>
      </c>
      <c r="I43" s="23"/>
    </row>
    <row r="44" spans="1:9" ht="19.899999999999999" customHeight="1">
      <c r="A44" s="62" t="s">
        <v>47</v>
      </c>
      <c r="B44" s="50"/>
      <c r="C44" s="50">
        <v>1050</v>
      </c>
      <c r="D44" s="125" t="s">
        <v>79</v>
      </c>
      <c r="F44" s="20"/>
      <c r="G44" s="18"/>
      <c r="H44" s="18"/>
      <c r="I44" s="23"/>
    </row>
    <row r="45" spans="1:9" ht="19.899999999999999" customHeight="1">
      <c r="A45" s="62" t="s">
        <v>48</v>
      </c>
      <c r="B45" s="50"/>
      <c r="C45" s="50">
        <v>2650</v>
      </c>
      <c r="D45" s="125" t="s">
        <v>79</v>
      </c>
      <c r="F45" s="20"/>
      <c r="G45" s="18"/>
      <c r="H45" s="18"/>
    </row>
    <row r="46" spans="1:9" ht="19.899999999999999" customHeight="1">
      <c r="A46" s="62" t="s">
        <v>41</v>
      </c>
      <c r="B46" s="50"/>
      <c r="C46" s="50">
        <v>2162.35</v>
      </c>
      <c r="D46" s="125" t="s">
        <v>79</v>
      </c>
      <c r="F46" s="20" t="s">
        <v>37</v>
      </c>
      <c r="G46" s="150">
        <f>B2+G2+B8+B27+B37</f>
        <v>88.57</v>
      </c>
      <c r="H46" s="18"/>
    </row>
    <row r="47" spans="1:9" ht="19.899999999999999" customHeight="1">
      <c r="A47" s="62" t="s">
        <v>65</v>
      </c>
      <c r="B47" s="50"/>
      <c r="C47" s="50">
        <v>202</v>
      </c>
      <c r="D47" s="125" t="s">
        <v>79</v>
      </c>
      <c r="F47" s="20" t="s">
        <v>107</v>
      </c>
      <c r="G47" s="150">
        <f>C22+C35+C50</f>
        <v>3.51</v>
      </c>
      <c r="H47" s="18"/>
    </row>
    <row r="48" spans="1:9" ht="19.899999999999999" customHeight="1">
      <c r="A48" s="62" t="s">
        <v>30</v>
      </c>
      <c r="B48" s="50"/>
      <c r="C48" s="50">
        <v>192.03</v>
      </c>
      <c r="D48" s="125" t="s">
        <v>79</v>
      </c>
      <c r="F48" s="148" t="s">
        <v>108</v>
      </c>
      <c r="G48" s="149">
        <f>G46-G47</f>
        <v>85.059999999999988</v>
      </c>
      <c r="H48" s="18"/>
    </row>
    <row r="49" spans="1:8" ht="19.899999999999999" customHeight="1">
      <c r="A49" s="62" t="s">
        <v>104</v>
      </c>
      <c r="B49" s="50"/>
      <c r="C49" s="50">
        <v>54056.2</v>
      </c>
      <c r="D49" s="125" t="s">
        <v>79</v>
      </c>
      <c r="F49" s="20"/>
      <c r="G49" s="18"/>
      <c r="H49" s="18"/>
    </row>
    <row r="50" spans="1:8" ht="19.899999999999999" customHeight="1">
      <c r="A50" s="62" t="s">
        <v>67</v>
      </c>
      <c r="B50" s="50"/>
      <c r="C50" s="50">
        <v>0.4</v>
      </c>
      <c r="D50" s="125" t="s">
        <v>79</v>
      </c>
      <c r="F50" s="20"/>
      <c r="G50" s="18"/>
      <c r="H50" s="18"/>
    </row>
    <row r="51" spans="1:8" ht="19.899999999999999" customHeight="1">
      <c r="A51" s="142" t="s">
        <v>38</v>
      </c>
      <c r="B51" s="143"/>
      <c r="C51" s="143">
        <v>300</v>
      </c>
      <c r="D51" s="144" t="s">
        <v>79</v>
      </c>
      <c r="G51" s="18"/>
      <c r="H51" s="18"/>
    </row>
    <row r="52" spans="1:8" ht="19.899999999999999" customHeight="1">
      <c r="A52" s="142" t="s">
        <v>38</v>
      </c>
      <c r="B52" s="143"/>
      <c r="C52" s="143">
        <v>880</v>
      </c>
      <c r="D52" s="144" t="s">
        <v>79</v>
      </c>
      <c r="G52" s="18"/>
      <c r="H52" s="18"/>
    </row>
    <row r="53" spans="1:8" ht="19.899999999999999" customHeight="1">
      <c r="A53" s="145" t="s">
        <v>104</v>
      </c>
      <c r="B53" s="146"/>
      <c r="C53" s="146">
        <v>-2777.5</v>
      </c>
      <c r="D53" s="147" t="s">
        <v>79</v>
      </c>
      <c r="F53" s="151"/>
    </row>
    <row r="54" spans="1:8" ht="19.899999999999999" customHeight="1">
      <c r="A54" s="72" t="s">
        <v>28</v>
      </c>
      <c r="B54" s="73">
        <f>SUM(B37:B53)</f>
        <v>50441.364999999998</v>
      </c>
      <c r="C54" s="73">
        <f>SUM(C37:C53)</f>
        <v>62627.76</v>
      </c>
      <c r="D54" s="130" t="e">
        <f>#REF!</f>
        <v>#REF!</v>
      </c>
      <c r="F54" s="130" t="e">
        <f>D26+D36+D54+I7</f>
        <v>#REF!</v>
      </c>
      <c r="G54" s="18" t="s">
        <v>106</v>
      </c>
    </row>
  </sheetData>
  <dataConsolidate/>
  <phoneticPr fontId="35"/>
  <printOptions horizontalCentered="1" verticalCentered="1"/>
  <pageMargins left="0.25" right="0.25" top="0.25" bottom="0.25" header="0" footer="0"/>
  <pageSetup paperSize="9" scale="62" orientation="portrait" r:id="rId1"/>
  <headerFooter alignWithMargins="0">
    <oddHeader>&amp;R&amp;"Calibri"&amp;11&amp;A</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$A$7:$A$18</xm:f>
          </x14:formula1>
          <xm:sqref>WVJ982907:WVJ982908 IX65420:IX65421 WVJ982902:WVJ982904 WVJ917446:WVJ917449 WVJ917371:WVJ917372 WVJ917366:WVJ917368 WVJ851910:WVJ851913 WVJ851835:WVJ851836 WVJ851830:WVJ851832 WVJ786374:WVJ786377 WVJ786299:WVJ786300 WVJ786294:WVJ786296 WVJ720838:WVJ720841 WVJ720763:WVJ720764 WVJ720758:WVJ720760 WVJ655302:WVJ655305 WVJ655227:WVJ655228 WVJ655222:WVJ655224 WVJ589766:WVJ589769 WVJ589691:WVJ589692 WVJ589686:WVJ589688 WVJ524230:WVJ524233 WVJ524155:WVJ524156 WVJ524150:WVJ524152 WVJ458694:WVJ458697 WVJ458619:WVJ458620 WVJ458614:WVJ458616 WVJ393158:WVJ393161 WVJ393083:WVJ393084 WVJ393078:WVJ393080 WVJ327622:WVJ327625 WVJ327547:WVJ327548 WVJ327542:WVJ327544 WVJ262086:WVJ262089 WVJ262011:WVJ262012 WVJ262006:WVJ262008 WVJ196550:WVJ196553 WVJ196475:WVJ196476 WVJ196470:WVJ196472 WVJ131014:WVJ131017 WVJ130939:WVJ130940 WVJ130934:WVJ130936 WVJ65478:WVJ65481 WVJ65403:WVJ65404 WVJ65398:WVJ65400 WLN982982:WLN982985 WLN982907:WLN982908 WLN982902:WLN982904 WLN917446:WLN917449 WLN917371:WLN917372 WLN917366:WLN917368 WLN851910:WLN851913 WLN851835:WLN851836 WLN851830:WLN851832 WLN786374:WLN786377 WLN786299:WLN786300 WLN786294:WLN786296 WLN720838:WLN720841 WLN720763:WLN720764 WLN720758:WLN720760 WLN655302:WLN655305 WLN655227:WLN655228 WLN655222:WLN655224 WLN589766:WLN589769 WLN589691:WLN589692 WLN589686:WLN589688 WLN524230:WLN524233 WLN524155:WLN524156 WLN524150:WLN524152 WLN458694:WLN458697 WLN458619:WLN458620 WLN458614:WLN458616 WLN393158:WLN393161 WLN393083:WLN393084 WLN393078:WLN393080 WLN327622:WLN327625 WLN327547:WLN327548 WLN327542:WLN327544 WLN262086:WLN262089 WLN262011:WLN262012 WLN262006:WLN262008 WLN196550:WLN196553 WLN196475:WLN196476 WLN196470:WLN196472 WLN131014:WLN131017 WLN130939:WLN130940 WLN130934:WLN130936 WLN65478:WLN65481 WLN65403:WLN65404 WLN65398:WLN65400 WBR982982:WBR982985 WBR982907:WBR982908 WBR982902:WBR982904 WBR917446:WBR917449 WBR917371:WBR917372 WBR917366:WBR917368 WBR851910:WBR851913 WBR851835:WBR851836 WBR851830:WBR851832 WBR786374:WBR786377 WBR786299:WBR786300 WBR786294:WBR786296 WBR720838:WBR720841 WBR720763:WBR720764 WBR720758:WBR720760 WBR655302:WBR655305 WBR655227:WBR655228 WBR655222:WBR655224 WBR589766:WBR589769 WBR589691:WBR589692 WBR589686:WBR589688 WBR524230:WBR524233 WBR524155:WBR524156 WBR524150:WBR524152 WBR458694:WBR458697 WBR458619:WBR458620 WBR458614:WBR458616 WBR393158:WBR393161 WBR393083:WBR393084 WBR393078:WBR393080 WBR327622:WBR327625 WBR327547:WBR327548 WBR327542:WBR327544 WBR262086:WBR262089 WBR262011:WBR262012 WBR262006:WBR262008 WBR196550:WBR196553 WBR196475:WBR196476 WBR196470:WBR196472 WBR131014:WBR131017 WBR130939:WBR130940 WBR130934:WBR130936 WBR65478:WBR65481 WBR65403:WBR65404 WBR65398:WBR65400 VRV982982:VRV982985 VRV982907:VRV982908 VRV982902:VRV982904 VRV917446:VRV917449 VRV917371:VRV917372 VRV917366:VRV917368 VRV851910:VRV851913 VRV851835:VRV851836 VRV851830:VRV851832 VRV786374:VRV786377 VRV786299:VRV786300 VRV786294:VRV786296 VRV720838:VRV720841 VRV720763:VRV720764 VRV720758:VRV720760 VRV655302:VRV655305 VRV655227:VRV655228 VRV655222:VRV655224 VRV589766:VRV589769 VRV589691:VRV589692 VRV589686:VRV589688 VRV524230:VRV524233 VRV524155:VRV524156 VRV524150:VRV524152 VRV458694:VRV458697 VRV458619:VRV458620 VRV458614:VRV458616 VRV393158:VRV393161 VRV393083:VRV393084 VRV393078:VRV393080 VRV327622:VRV327625 VRV327547:VRV327548 VRV327542:VRV327544 VRV262086:VRV262089 VRV262011:VRV262012 VRV262006:VRV262008 VRV196550:VRV196553 VRV196475:VRV196476 VRV196470:VRV196472 VRV131014:VRV131017 VRV130939:VRV130940 VRV130934:VRV130936 VRV65478:VRV65481 VRV65403:VRV65404 VRV65398:VRV65400 VHZ982982:VHZ982985 VHZ982907:VHZ982908 VHZ982902:VHZ982904 VHZ917446:VHZ917449 VHZ917371:VHZ917372 VHZ917366:VHZ917368 VHZ851910:VHZ851913 VHZ851835:VHZ851836 VHZ851830:VHZ851832 VHZ786374:VHZ786377 VHZ786299:VHZ786300 VHZ786294:VHZ786296 VHZ720838:VHZ720841 VHZ720763:VHZ720764 VHZ720758:VHZ720760 VHZ655302:VHZ655305 VHZ655227:VHZ655228 VHZ655222:VHZ655224 VHZ589766:VHZ589769 VHZ589691:VHZ589692 VHZ589686:VHZ589688 VHZ524230:VHZ524233 VHZ524155:VHZ524156 VHZ524150:VHZ524152 VHZ458694:VHZ458697 VHZ458619:VHZ458620 VHZ458614:VHZ458616 VHZ393158:VHZ393161 VHZ393083:VHZ393084 VHZ393078:VHZ393080 VHZ327622:VHZ327625 VHZ327547:VHZ327548 VHZ327542:VHZ327544 VHZ262086:VHZ262089 VHZ262011:VHZ262012 VHZ262006:VHZ262008 VHZ196550:VHZ196553 VHZ196475:VHZ196476 VHZ196470:VHZ196472 VHZ131014:VHZ131017 VHZ130939:VHZ130940 VHZ130934:VHZ130936 VHZ65478:VHZ65481 VHZ65403:VHZ65404 VHZ65398:VHZ65400 UYD982982:UYD982985 UYD982907:UYD982908 UYD982902:UYD982904 UYD917446:UYD917449 UYD917371:UYD917372 UYD917366:UYD917368 UYD851910:UYD851913 UYD851835:UYD851836 UYD851830:UYD851832 UYD786374:UYD786377 UYD786299:UYD786300 UYD786294:UYD786296 UYD720838:UYD720841 UYD720763:UYD720764 UYD720758:UYD720760 UYD655302:UYD655305 UYD655227:UYD655228 UYD655222:UYD655224 UYD589766:UYD589769 UYD589691:UYD589692 UYD589686:UYD589688 UYD524230:UYD524233 UYD524155:UYD524156 UYD524150:UYD524152 UYD458694:UYD458697 UYD458619:UYD458620 UYD458614:UYD458616 UYD393158:UYD393161 UYD393083:UYD393084 UYD393078:UYD393080 UYD327622:UYD327625 UYD327547:UYD327548 UYD327542:UYD327544 UYD262086:UYD262089 UYD262011:UYD262012 UYD262006:UYD262008 UYD196550:UYD196553 UYD196475:UYD196476 UYD196470:UYD196472 UYD131014:UYD131017 UYD130939:UYD130940 UYD130934:UYD130936 UYD65478:UYD65481 UYD65403:UYD65404 UYD65398:UYD65400 UOH982982:UOH982985 UOH982907:UOH982908 UOH982902:UOH982904 UOH917446:UOH917449 UOH917371:UOH917372 UOH917366:UOH917368 UOH851910:UOH851913 UOH851835:UOH851836 UOH851830:UOH851832 UOH786374:UOH786377 UOH786299:UOH786300 UOH786294:UOH786296 UOH720838:UOH720841 UOH720763:UOH720764 UOH720758:UOH720760 UOH655302:UOH655305 UOH655227:UOH655228 UOH655222:UOH655224 UOH589766:UOH589769 UOH589691:UOH589692 UOH589686:UOH589688 UOH524230:UOH524233 UOH524155:UOH524156 UOH524150:UOH524152 UOH458694:UOH458697 UOH458619:UOH458620 UOH458614:UOH458616 UOH393158:UOH393161 UOH393083:UOH393084 UOH393078:UOH393080 UOH327622:UOH327625 UOH327547:UOH327548 UOH327542:UOH327544 UOH262086:UOH262089 UOH262011:UOH262012 UOH262006:UOH262008 UOH196550:UOH196553 UOH196475:UOH196476 UOH196470:UOH196472 UOH131014:UOH131017 UOH130939:UOH130940 UOH130934:UOH130936 UOH65478:UOH65481 UOH65403:UOH65404 UOH65398:UOH65400 UEL982982:UEL982985 UEL982907:UEL982908 UEL982902:UEL982904 UEL917446:UEL917449 UEL917371:UEL917372 UEL917366:UEL917368 UEL851910:UEL851913 UEL851835:UEL851836 UEL851830:UEL851832 UEL786374:UEL786377 UEL786299:UEL786300 UEL786294:UEL786296 UEL720838:UEL720841 UEL720763:UEL720764 UEL720758:UEL720760 UEL655302:UEL655305 UEL655227:UEL655228 UEL655222:UEL655224 UEL589766:UEL589769 UEL589691:UEL589692 UEL589686:UEL589688 UEL524230:UEL524233 UEL524155:UEL524156 UEL524150:UEL524152 UEL458694:UEL458697 UEL458619:UEL458620 UEL458614:UEL458616 UEL393158:UEL393161 UEL393083:UEL393084 UEL393078:UEL393080 UEL327622:UEL327625 UEL327547:UEL327548 UEL327542:UEL327544 UEL262086:UEL262089 UEL262011:UEL262012 UEL262006:UEL262008 UEL196550:UEL196553 UEL196475:UEL196476 UEL196470:UEL196472 UEL131014:UEL131017 UEL130939:UEL130940 UEL130934:UEL130936 UEL65478:UEL65481 UEL65403:UEL65404 UEL65398:UEL65400 TUP982982:TUP982985 TUP982907:TUP982908 TUP982902:TUP982904 TUP917446:TUP917449 TUP917371:TUP917372 TUP917366:TUP917368 TUP851910:TUP851913 TUP851835:TUP851836 TUP851830:TUP851832 TUP786374:TUP786377 TUP786299:TUP786300 TUP786294:TUP786296 TUP720838:TUP720841 TUP720763:TUP720764 TUP720758:TUP720760 TUP655302:TUP655305 TUP655227:TUP655228 TUP655222:TUP655224 TUP589766:TUP589769 TUP589691:TUP589692 TUP589686:TUP589688 TUP524230:TUP524233 TUP524155:TUP524156 TUP524150:TUP524152 TUP458694:TUP458697 TUP458619:TUP458620 TUP458614:TUP458616 TUP393158:TUP393161 TUP393083:TUP393084 TUP393078:TUP393080 TUP327622:TUP327625 TUP327547:TUP327548 TUP327542:TUP327544 TUP262086:TUP262089 TUP262011:TUP262012 TUP262006:TUP262008 TUP196550:TUP196553 TUP196475:TUP196476 TUP196470:TUP196472 TUP131014:TUP131017 TUP130939:TUP130940 TUP130934:TUP130936 TUP65478:TUP65481 TUP65403:TUP65404 TUP65398:TUP65400 TKT982982:TKT982985 TKT982907:TKT982908 TKT982902:TKT982904 TKT917446:TKT917449 TKT917371:TKT917372 TKT917366:TKT917368 TKT851910:TKT851913 TKT851835:TKT851836 TKT851830:TKT851832 TKT786374:TKT786377 TKT786299:TKT786300 TKT786294:TKT786296 TKT720838:TKT720841 TKT720763:TKT720764 TKT720758:TKT720760 TKT655302:TKT655305 TKT655227:TKT655228 TKT655222:TKT655224 TKT589766:TKT589769 TKT589691:TKT589692 TKT589686:TKT589688 TKT524230:TKT524233 TKT524155:TKT524156 TKT524150:TKT524152 TKT458694:TKT458697 TKT458619:TKT458620 TKT458614:TKT458616 TKT393158:TKT393161 TKT393083:TKT393084 TKT393078:TKT393080 TKT327622:TKT327625 TKT327547:TKT327548 TKT327542:TKT327544 TKT262086:TKT262089 TKT262011:TKT262012 TKT262006:TKT262008 TKT196550:TKT196553 TKT196475:TKT196476 TKT196470:TKT196472 TKT131014:TKT131017 TKT130939:TKT130940 TKT130934:TKT130936 TKT65478:TKT65481 TKT65403:TKT65404 TKT65398:TKT65400 TAX982982:TAX982985 TAX982907:TAX982908 TAX982902:TAX982904 TAX917446:TAX917449 TAX917371:TAX917372 TAX917366:TAX917368 TAX851910:TAX851913 TAX851835:TAX851836 TAX851830:TAX851832 TAX786374:TAX786377 TAX786299:TAX786300 TAX786294:TAX786296 TAX720838:TAX720841 TAX720763:TAX720764 TAX720758:TAX720760 TAX655302:TAX655305 TAX655227:TAX655228 TAX655222:TAX655224 TAX589766:TAX589769 TAX589691:TAX589692 TAX589686:TAX589688 TAX524230:TAX524233 TAX524155:TAX524156 TAX524150:TAX524152 TAX458694:TAX458697 TAX458619:TAX458620 TAX458614:TAX458616 TAX393158:TAX393161 TAX393083:TAX393084 TAX393078:TAX393080 TAX327622:TAX327625 TAX327547:TAX327548 TAX327542:TAX327544 TAX262086:TAX262089 TAX262011:TAX262012 TAX262006:TAX262008 TAX196550:TAX196553 TAX196475:TAX196476 TAX196470:TAX196472 TAX131014:TAX131017 TAX130939:TAX130940 TAX130934:TAX130936 TAX65478:TAX65481 TAX65403:TAX65404 TAX65398:TAX65400 SRB982982:SRB982985 SRB982907:SRB982908 SRB982902:SRB982904 SRB917446:SRB917449 SRB917371:SRB917372 SRB917366:SRB917368 SRB851910:SRB851913 SRB851835:SRB851836 SRB851830:SRB851832 SRB786374:SRB786377 SRB786299:SRB786300 SRB786294:SRB786296 SRB720838:SRB720841 SRB720763:SRB720764 SRB720758:SRB720760 SRB655302:SRB655305 SRB655227:SRB655228 SRB655222:SRB655224 SRB589766:SRB589769 SRB589691:SRB589692 SRB589686:SRB589688 SRB524230:SRB524233 SRB524155:SRB524156 SRB524150:SRB524152 SRB458694:SRB458697 SRB458619:SRB458620 SRB458614:SRB458616 SRB393158:SRB393161 SRB393083:SRB393084 SRB393078:SRB393080 SRB327622:SRB327625 SRB327547:SRB327548 SRB327542:SRB327544 SRB262086:SRB262089 SRB262011:SRB262012 SRB262006:SRB262008 SRB196550:SRB196553 SRB196475:SRB196476 SRB196470:SRB196472 SRB131014:SRB131017 SRB130939:SRB130940 SRB130934:SRB130936 SRB65478:SRB65481 SRB65403:SRB65404 SRB65398:SRB65400 SHF982982:SHF982985 SHF982907:SHF982908 SHF982902:SHF982904 SHF917446:SHF917449 SHF917371:SHF917372 SHF917366:SHF917368 SHF851910:SHF851913 SHF851835:SHF851836 SHF851830:SHF851832 SHF786374:SHF786377 SHF786299:SHF786300 SHF786294:SHF786296 SHF720838:SHF720841 SHF720763:SHF720764 SHF720758:SHF720760 SHF655302:SHF655305 SHF655227:SHF655228 SHF655222:SHF655224 SHF589766:SHF589769 SHF589691:SHF589692 SHF589686:SHF589688 SHF524230:SHF524233 SHF524155:SHF524156 SHF524150:SHF524152 SHF458694:SHF458697 SHF458619:SHF458620 SHF458614:SHF458616 SHF393158:SHF393161 SHF393083:SHF393084 SHF393078:SHF393080 SHF327622:SHF327625 SHF327547:SHF327548 SHF327542:SHF327544 SHF262086:SHF262089 SHF262011:SHF262012 SHF262006:SHF262008 SHF196550:SHF196553 SHF196475:SHF196476 SHF196470:SHF196472 SHF131014:SHF131017 SHF130939:SHF130940 SHF130934:SHF130936 SHF65478:SHF65481 SHF65403:SHF65404 SHF65398:SHF65400 RXJ982982:RXJ982985 RXJ982907:RXJ982908 RXJ982902:RXJ982904 RXJ917446:RXJ917449 RXJ917371:RXJ917372 RXJ917366:RXJ917368 RXJ851910:RXJ851913 RXJ851835:RXJ851836 RXJ851830:RXJ851832 RXJ786374:RXJ786377 RXJ786299:RXJ786300 RXJ786294:RXJ786296 RXJ720838:RXJ720841 RXJ720763:RXJ720764 RXJ720758:RXJ720760 RXJ655302:RXJ655305 RXJ655227:RXJ655228 RXJ655222:RXJ655224 RXJ589766:RXJ589769 RXJ589691:RXJ589692 RXJ589686:RXJ589688 RXJ524230:RXJ524233 RXJ524155:RXJ524156 RXJ524150:RXJ524152 RXJ458694:RXJ458697 RXJ458619:RXJ458620 RXJ458614:RXJ458616 RXJ393158:RXJ393161 RXJ393083:RXJ393084 RXJ393078:RXJ393080 RXJ327622:RXJ327625 RXJ327547:RXJ327548 RXJ327542:RXJ327544 RXJ262086:RXJ262089 RXJ262011:RXJ262012 RXJ262006:RXJ262008 RXJ196550:RXJ196553 RXJ196475:RXJ196476 RXJ196470:RXJ196472 RXJ131014:RXJ131017 RXJ130939:RXJ130940 RXJ130934:RXJ130936 RXJ65478:RXJ65481 RXJ65403:RXJ65404 RXJ65398:RXJ65400 RNN982982:RNN982985 RNN982907:RNN982908 RNN982902:RNN982904 RNN917446:RNN917449 RNN917371:RNN917372 RNN917366:RNN917368 RNN851910:RNN851913 RNN851835:RNN851836 RNN851830:RNN851832 RNN786374:RNN786377 RNN786299:RNN786300 RNN786294:RNN786296 RNN720838:RNN720841 RNN720763:RNN720764 RNN720758:RNN720760 RNN655302:RNN655305 RNN655227:RNN655228 RNN655222:RNN655224 RNN589766:RNN589769 RNN589691:RNN589692 RNN589686:RNN589688 RNN524230:RNN524233 RNN524155:RNN524156 RNN524150:RNN524152 RNN458694:RNN458697 RNN458619:RNN458620 RNN458614:RNN458616 RNN393158:RNN393161 RNN393083:RNN393084 RNN393078:RNN393080 RNN327622:RNN327625 RNN327547:RNN327548 RNN327542:RNN327544 RNN262086:RNN262089 RNN262011:RNN262012 RNN262006:RNN262008 RNN196550:RNN196553 RNN196475:RNN196476 RNN196470:RNN196472 RNN131014:RNN131017 RNN130939:RNN130940 RNN130934:RNN130936 RNN65478:RNN65481 RNN65403:RNN65404 RNN65398:RNN65400 RDR982982:RDR982985 RDR982907:RDR982908 RDR982902:RDR982904 RDR917446:RDR917449 RDR917371:RDR917372 RDR917366:RDR917368 RDR851910:RDR851913 RDR851835:RDR851836 RDR851830:RDR851832 RDR786374:RDR786377 RDR786299:RDR786300 RDR786294:RDR786296 RDR720838:RDR720841 RDR720763:RDR720764 RDR720758:RDR720760 RDR655302:RDR655305 RDR655227:RDR655228 RDR655222:RDR655224 RDR589766:RDR589769 RDR589691:RDR589692 RDR589686:RDR589688 RDR524230:RDR524233 RDR524155:RDR524156 RDR524150:RDR524152 RDR458694:RDR458697 RDR458619:RDR458620 RDR458614:RDR458616 RDR393158:RDR393161 RDR393083:RDR393084 RDR393078:RDR393080 RDR327622:RDR327625 RDR327547:RDR327548 RDR327542:RDR327544 RDR262086:RDR262089 RDR262011:RDR262012 RDR262006:RDR262008 RDR196550:RDR196553 RDR196475:RDR196476 RDR196470:RDR196472 RDR131014:RDR131017 RDR130939:RDR130940 RDR130934:RDR130936 RDR65478:RDR65481 RDR65403:RDR65404 RDR65398:RDR65400 QTV982982:QTV982985 QTV982907:QTV982908 QTV982902:QTV982904 QTV917446:QTV917449 QTV917371:QTV917372 QTV917366:QTV917368 QTV851910:QTV851913 QTV851835:QTV851836 QTV851830:QTV851832 QTV786374:QTV786377 QTV786299:QTV786300 QTV786294:QTV786296 QTV720838:QTV720841 QTV720763:QTV720764 QTV720758:QTV720760 QTV655302:QTV655305 QTV655227:QTV655228 QTV655222:QTV655224 QTV589766:QTV589769 QTV589691:QTV589692 QTV589686:QTV589688 QTV524230:QTV524233 QTV524155:QTV524156 QTV524150:QTV524152 QTV458694:QTV458697 QTV458619:QTV458620 QTV458614:QTV458616 QTV393158:QTV393161 QTV393083:QTV393084 QTV393078:QTV393080 QTV327622:QTV327625 QTV327547:QTV327548 QTV327542:QTV327544 QTV262086:QTV262089 QTV262011:QTV262012 QTV262006:QTV262008 QTV196550:QTV196553 QTV196475:QTV196476 QTV196470:QTV196472 QTV131014:QTV131017 QTV130939:QTV130940 QTV130934:QTV130936 QTV65478:QTV65481 QTV65403:QTV65404 QTV65398:QTV65400 QJZ982982:QJZ982985 QJZ982907:QJZ982908 QJZ982902:QJZ982904 QJZ917446:QJZ917449 QJZ917371:QJZ917372 QJZ917366:QJZ917368 QJZ851910:QJZ851913 QJZ851835:QJZ851836 QJZ851830:QJZ851832 QJZ786374:QJZ786377 QJZ786299:QJZ786300 QJZ786294:QJZ786296 QJZ720838:QJZ720841 QJZ720763:QJZ720764 QJZ720758:QJZ720760 QJZ655302:QJZ655305 QJZ655227:QJZ655228 QJZ655222:QJZ655224 QJZ589766:QJZ589769 QJZ589691:QJZ589692 QJZ589686:QJZ589688 QJZ524230:QJZ524233 QJZ524155:QJZ524156 QJZ524150:QJZ524152 QJZ458694:QJZ458697 QJZ458619:QJZ458620 QJZ458614:QJZ458616 QJZ393158:QJZ393161 QJZ393083:QJZ393084 QJZ393078:QJZ393080 QJZ327622:QJZ327625 QJZ327547:QJZ327548 QJZ327542:QJZ327544 QJZ262086:QJZ262089 QJZ262011:QJZ262012 QJZ262006:QJZ262008 QJZ196550:QJZ196553 QJZ196475:QJZ196476 QJZ196470:QJZ196472 QJZ131014:QJZ131017 QJZ130939:QJZ130940 QJZ130934:QJZ130936 QJZ65478:QJZ65481 QJZ65403:QJZ65404 QJZ65398:QJZ65400 QAD982982:QAD982985 QAD982907:QAD982908 QAD982902:QAD982904 QAD917446:QAD917449 QAD917371:QAD917372 QAD917366:QAD917368 QAD851910:QAD851913 QAD851835:QAD851836 QAD851830:QAD851832 QAD786374:QAD786377 QAD786299:QAD786300 QAD786294:QAD786296 QAD720838:QAD720841 QAD720763:QAD720764 QAD720758:QAD720760 QAD655302:QAD655305 QAD655227:QAD655228 QAD655222:QAD655224 QAD589766:QAD589769 QAD589691:QAD589692 QAD589686:QAD589688 QAD524230:QAD524233 QAD524155:QAD524156 QAD524150:QAD524152 QAD458694:QAD458697 QAD458619:QAD458620 QAD458614:QAD458616 QAD393158:QAD393161 QAD393083:QAD393084 QAD393078:QAD393080 QAD327622:QAD327625 QAD327547:QAD327548 QAD327542:QAD327544 QAD262086:QAD262089 QAD262011:QAD262012 QAD262006:QAD262008 QAD196550:QAD196553 QAD196475:QAD196476 QAD196470:QAD196472 QAD131014:QAD131017 QAD130939:QAD130940 QAD130934:QAD130936 QAD65478:QAD65481 QAD65403:QAD65404 QAD65398:QAD65400 PQH982982:PQH982985 PQH982907:PQH982908 PQH982902:PQH982904 PQH917446:PQH917449 PQH917371:PQH917372 PQH917366:PQH917368 PQH851910:PQH851913 PQH851835:PQH851836 PQH851830:PQH851832 PQH786374:PQH786377 PQH786299:PQH786300 PQH786294:PQH786296 PQH720838:PQH720841 PQH720763:PQH720764 PQH720758:PQH720760 PQH655302:PQH655305 PQH655227:PQH655228 PQH655222:PQH655224 PQH589766:PQH589769 PQH589691:PQH589692 PQH589686:PQH589688 PQH524230:PQH524233 PQH524155:PQH524156 PQH524150:PQH524152 PQH458694:PQH458697 PQH458619:PQH458620 PQH458614:PQH458616 PQH393158:PQH393161 PQH393083:PQH393084 PQH393078:PQH393080 PQH327622:PQH327625 PQH327547:PQH327548 PQH327542:PQH327544 PQH262086:PQH262089 PQH262011:PQH262012 PQH262006:PQH262008 PQH196550:PQH196553 PQH196475:PQH196476 PQH196470:PQH196472 PQH131014:PQH131017 PQH130939:PQH130940 PQH130934:PQH130936 PQH65478:PQH65481 PQH65403:PQH65404 PQH65398:PQH65400 PGL982982:PGL982985 PGL982907:PGL982908 PGL982902:PGL982904 PGL917446:PGL917449 PGL917371:PGL917372 PGL917366:PGL917368 PGL851910:PGL851913 PGL851835:PGL851836 PGL851830:PGL851832 PGL786374:PGL786377 PGL786299:PGL786300 PGL786294:PGL786296 PGL720838:PGL720841 PGL720763:PGL720764 PGL720758:PGL720760 PGL655302:PGL655305 PGL655227:PGL655228 PGL655222:PGL655224 PGL589766:PGL589769 PGL589691:PGL589692 PGL589686:PGL589688 PGL524230:PGL524233 PGL524155:PGL524156 PGL524150:PGL524152 PGL458694:PGL458697 PGL458619:PGL458620 PGL458614:PGL458616 PGL393158:PGL393161 PGL393083:PGL393084 PGL393078:PGL393080 PGL327622:PGL327625 PGL327547:PGL327548 PGL327542:PGL327544 PGL262086:PGL262089 PGL262011:PGL262012 PGL262006:PGL262008 PGL196550:PGL196553 PGL196475:PGL196476 PGL196470:PGL196472 PGL131014:PGL131017 PGL130939:PGL130940 PGL130934:PGL130936 PGL65478:PGL65481 PGL65403:PGL65404 PGL65398:PGL65400 OWP982982:OWP982985 OWP982907:OWP982908 OWP982902:OWP982904 OWP917446:OWP917449 OWP917371:OWP917372 OWP917366:OWP917368 OWP851910:OWP851913 OWP851835:OWP851836 OWP851830:OWP851832 OWP786374:OWP786377 OWP786299:OWP786300 OWP786294:OWP786296 OWP720838:OWP720841 OWP720763:OWP720764 OWP720758:OWP720760 OWP655302:OWP655305 OWP655227:OWP655228 OWP655222:OWP655224 OWP589766:OWP589769 OWP589691:OWP589692 OWP589686:OWP589688 OWP524230:OWP524233 OWP524155:OWP524156 OWP524150:OWP524152 OWP458694:OWP458697 OWP458619:OWP458620 OWP458614:OWP458616 OWP393158:OWP393161 OWP393083:OWP393084 OWP393078:OWP393080 OWP327622:OWP327625 OWP327547:OWP327548 OWP327542:OWP327544 OWP262086:OWP262089 OWP262011:OWP262012 OWP262006:OWP262008 OWP196550:OWP196553 OWP196475:OWP196476 OWP196470:OWP196472 OWP131014:OWP131017 OWP130939:OWP130940 OWP130934:OWP130936 OWP65478:OWP65481 OWP65403:OWP65404 OWP65398:OWP65400 OMT982982:OMT982985 OMT982907:OMT982908 OMT982902:OMT982904 OMT917446:OMT917449 OMT917371:OMT917372 OMT917366:OMT917368 OMT851910:OMT851913 OMT851835:OMT851836 OMT851830:OMT851832 OMT786374:OMT786377 OMT786299:OMT786300 OMT786294:OMT786296 OMT720838:OMT720841 OMT720763:OMT720764 OMT720758:OMT720760 OMT655302:OMT655305 OMT655227:OMT655228 OMT655222:OMT655224 OMT589766:OMT589769 OMT589691:OMT589692 OMT589686:OMT589688 OMT524230:OMT524233 OMT524155:OMT524156 OMT524150:OMT524152 OMT458694:OMT458697 OMT458619:OMT458620 OMT458614:OMT458616 OMT393158:OMT393161 OMT393083:OMT393084 OMT393078:OMT393080 OMT327622:OMT327625 OMT327547:OMT327548 OMT327542:OMT327544 OMT262086:OMT262089 OMT262011:OMT262012 OMT262006:OMT262008 OMT196550:OMT196553 OMT196475:OMT196476 OMT196470:OMT196472 OMT131014:OMT131017 OMT130939:OMT130940 OMT130934:OMT130936 OMT65478:OMT65481 OMT65403:OMT65404 OMT65398:OMT65400 OCX982982:OCX982985 OCX982907:OCX982908 OCX982902:OCX982904 OCX917446:OCX917449 OCX917371:OCX917372 OCX917366:OCX917368 OCX851910:OCX851913 OCX851835:OCX851836 OCX851830:OCX851832 OCX786374:OCX786377 OCX786299:OCX786300 OCX786294:OCX786296 OCX720838:OCX720841 OCX720763:OCX720764 OCX720758:OCX720760 OCX655302:OCX655305 OCX655227:OCX655228 OCX655222:OCX655224 OCX589766:OCX589769 OCX589691:OCX589692 OCX589686:OCX589688 OCX524230:OCX524233 OCX524155:OCX524156 OCX524150:OCX524152 OCX458694:OCX458697 OCX458619:OCX458620 OCX458614:OCX458616 OCX393158:OCX393161 OCX393083:OCX393084 OCX393078:OCX393080 OCX327622:OCX327625 OCX327547:OCX327548 OCX327542:OCX327544 OCX262086:OCX262089 OCX262011:OCX262012 OCX262006:OCX262008 OCX196550:OCX196553 OCX196475:OCX196476 OCX196470:OCX196472 OCX131014:OCX131017 OCX130939:OCX130940 OCX130934:OCX130936 OCX65478:OCX65481 OCX65403:OCX65404 OCX65398:OCX65400 NTB982982:NTB982985 NTB982907:NTB982908 NTB982902:NTB982904 NTB917446:NTB917449 NTB917371:NTB917372 NTB917366:NTB917368 NTB851910:NTB851913 NTB851835:NTB851836 NTB851830:NTB851832 NTB786374:NTB786377 NTB786299:NTB786300 NTB786294:NTB786296 NTB720838:NTB720841 NTB720763:NTB720764 NTB720758:NTB720760 NTB655302:NTB655305 NTB655227:NTB655228 NTB655222:NTB655224 NTB589766:NTB589769 NTB589691:NTB589692 NTB589686:NTB589688 NTB524230:NTB524233 NTB524155:NTB524156 NTB524150:NTB524152 NTB458694:NTB458697 NTB458619:NTB458620 NTB458614:NTB458616 NTB393158:NTB393161 NTB393083:NTB393084 NTB393078:NTB393080 NTB327622:NTB327625 NTB327547:NTB327548 NTB327542:NTB327544 NTB262086:NTB262089 NTB262011:NTB262012 NTB262006:NTB262008 NTB196550:NTB196553 NTB196475:NTB196476 NTB196470:NTB196472 NTB131014:NTB131017 NTB130939:NTB130940 NTB130934:NTB130936 NTB65478:NTB65481 NTB65403:NTB65404 NTB65398:NTB65400 NJF982982:NJF982985 NJF982907:NJF982908 NJF982902:NJF982904 NJF917446:NJF917449 NJF917371:NJF917372 NJF917366:NJF917368 NJF851910:NJF851913 NJF851835:NJF851836 NJF851830:NJF851832 NJF786374:NJF786377 NJF786299:NJF786300 NJF786294:NJF786296 NJF720838:NJF720841 NJF720763:NJF720764 NJF720758:NJF720760 NJF655302:NJF655305 NJF655227:NJF655228 NJF655222:NJF655224 NJF589766:NJF589769 NJF589691:NJF589692 NJF589686:NJF589688 NJF524230:NJF524233 NJF524155:NJF524156 NJF524150:NJF524152 NJF458694:NJF458697 NJF458619:NJF458620 NJF458614:NJF458616 NJF393158:NJF393161 NJF393083:NJF393084 NJF393078:NJF393080 NJF327622:NJF327625 NJF327547:NJF327548 NJF327542:NJF327544 NJF262086:NJF262089 NJF262011:NJF262012 NJF262006:NJF262008 NJF196550:NJF196553 NJF196475:NJF196476 NJF196470:NJF196472 NJF131014:NJF131017 NJF130939:NJF130940 NJF130934:NJF130936 NJF65478:NJF65481 NJF65403:NJF65404 NJF65398:NJF65400 MZJ982982:MZJ982985 MZJ982907:MZJ982908 MZJ982902:MZJ982904 MZJ917446:MZJ917449 MZJ917371:MZJ917372 MZJ917366:MZJ917368 MZJ851910:MZJ851913 MZJ851835:MZJ851836 MZJ851830:MZJ851832 MZJ786374:MZJ786377 MZJ786299:MZJ786300 MZJ786294:MZJ786296 MZJ720838:MZJ720841 MZJ720763:MZJ720764 MZJ720758:MZJ720760 MZJ655302:MZJ655305 MZJ655227:MZJ655228 MZJ655222:MZJ655224 MZJ589766:MZJ589769 MZJ589691:MZJ589692 MZJ589686:MZJ589688 MZJ524230:MZJ524233 MZJ524155:MZJ524156 MZJ524150:MZJ524152 MZJ458694:MZJ458697 MZJ458619:MZJ458620 MZJ458614:MZJ458616 MZJ393158:MZJ393161 MZJ393083:MZJ393084 MZJ393078:MZJ393080 MZJ327622:MZJ327625 MZJ327547:MZJ327548 MZJ327542:MZJ327544 MZJ262086:MZJ262089 MZJ262011:MZJ262012 MZJ262006:MZJ262008 MZJ196550:MZJ196553 MZJ196475:MZJ196476 MZJ196470:MZJ196472 MZJ131014:MZJ131017 MZJ130939:MZJ130940 MZJ130934:MZJ130936 MZJ65478:MZJ65481 MZJ65403:MZJ65404 MZJ65398:MZJ65400 MPN982982:MPN982985 MPN982907:MPN982908 MPN982902:MPN982904 MPN917446:MPN917449 MPN917371:MPN917372 MPN917366:MPN917368 MPN851910:MPN851913 MPN851835:MPN851836 MPN851830:MPN851832 MPN786374:MPN786377 MPN786299:MPN786300 MPN786294:MPN786296 MPN720838:MPN720841 MPN720763:MPN720764 MPN720758:MPN720760 MPN655302:MPN655305 MPN655227:MPN655228 MPN655222:MPN655224 MPN589766:MPN589769 MPN589691:MPN589692 MPN589686:MPN589688 MPN524230:MPN524233 MPN524155:MPN524156 MPN524150:MPN524152 MPN458694:MPN458697 MPN458619:MPN458620 MPN458614:MPN458616 MPN393158:MPN393161 MPN393083:MPN393084 MPN393078:MPN393080 MPN327622:MPN327625 MPN327547:MPN327548 MPN327542:MPN327544 MPN262086:MPN262089 MPN262011:MPN262012 MPN262006:MPN262008 MPN196550:MPN196553 MPN196475:MPN196476 MPN196470:MPN196472 MPN131014:MPN131017 MPN130939:MPN130940 MPN130934:MPN130936 MPN65478:MPN65481 MPN65403:MPN65404 MPN65398:MPN65400 MFR982982:MFR982985 MFR982907:MFR982908 MFR982902:MFR982904 MFR917446:MFR917449 MFR917371:MFR917372 MFR917366:MFR917368 MFR851910:MFR851913 MFR851835:MFR851836 MFR851830:MFR851832 MFR786374:MFR786377 MFR786299:MFR786300 MFR786294:MFR786296 MFR720838:MFR720841 MFR720763:MFR720764 MFR720758:MFR720760 MFR655302:MFR655305 MFR655227:MFR655228 MFR655222:MFR655224 MFR589766:MFR589769 MFR589691:MFR589692 MFR589686:MFR589688 MFR524230:MFR524233 MFR524155:MFR524156 MFR524150:MFR524152 MFR458694:MFR458697 MFR458619:MFR458620 MFR458614:MFR458616 MFR393158:MFR393161 MFR393083:MFR393084 MFR393078:MFR393080 MFR327622:MFR327625 MFR327547:MFR327548 MFR327542:MFR327544 MFR262086:MFR262089 MFR262011:MFR262012 MFR262006:MFR262008 MFR196550:MFR196553 MFR196475:MFR196476 MFR196470:MFR196472 MFR131014:MFR131017 MFR130939:MFR130940 MFR130934:MFR130936 MFR65478:MFR65481 MFR65403:MFR65404 MFR65398:MFR65400 LVV982982:LVV982985 LVV982907:LVV982908 LVV982902:LVV982904 LVV917446:LVV917449 LVV917371:LVV917372 LVV917366:LVV917368 LVV851910:LVV851913 LVV851835:LVV851836 LVV851830:LVV851832 LVV786374:LVV786377 LVV786299:LVV786300 LVV786294:LVV786296 LVV720838:LVV720841 LVV720763:LVV720764 LVV720758:LVV720760 LVV655302:LVV655305 LVV655227:LVV655228 LVV655222:LVV655224 LVV589766:LVV589769 LVV589691:LVV589692 LVV589686:LVV589688 LVV524230:LVV524233 LVV524155:LVV524156 LVV524150:LVV524152 LVV458694:LVV458697 LVV458619:LVV458620 LVV458614:LVV458616 LVV393158:LVV393161 LVV393083:LVV393084 LVV393078:LVV393080 LVV327622:LVV327625 LVV327547:LVV327548 LVV327542:LVV327544 LVV262086:LVV262089 LVV262011:LVV262012 LVV262006:LVV262008 LVV196550:LVV196553 LVV196475:LVV196476 LVV196470:LVV196472 LVV131014:LVV131017 LVV130939:LVV130940 LVV130934:LVV130936 LVV65478:LVV65481 LVV65403:LVV65404 LVV65398:LVV65400 LLZ982982:LLZ982985 LLZ982907:LLZ982908 LLZ982902:LLZ982904 LLZ917446:LLZ917449 LLZ917371:LLZ917372 LLZ917366:LLZ917368 LLZ851910:LLZ851913 LLZ851835:LLZ851836 LLZ851830:LLZ851832 LLZ786374:LLZ786377 LLZ786299:LLZ786300 LLZ786294:LLZ786296 LLZ720838:LLZ720841 LLZ720763:LLZ720764 LLZ720758:LLZ720760 LLZ655302:LLZ655305 LLZ655227:LLZ655228 LLZ655222:LLZ655224 LLZ589766:LLZ589769 LLZ589691:LLZ589692 LLZ589686:LLZ589688 LLZ524230:LLZ524233 LLZ524155:LLZ524156 LLZ524150:LLZ524152 LLZ458694:LLZ458697 LLZ458619:LLZ458620 LLZ458614:LLZ458616 LLZ393158:LLZ393161 LLZ393083:LLZ393084 LLZ393078:LLZ393080 LLZ327622:LLZ327625 LLZ327547:LLZ327548 LLZ327542:LLZ327544 LLZ262086:LLZ262089 LLZ262011:LLZ262012 LLZ262006:LLZ262008 LLZ196550:LLZ196553 LLZ196475:LLZ196476 LLZ196470:LLZ196472 LLZ131014:LLZ131017 LLZ130939:LLZ130940 LLZ130934:LLZ130936 LLZ65478:LLZ65481 LLZ65403:LLZ65404 LLZ65398:LLZ65400 LCD982982:LCD982985 LCD982907:LCD982908 LCD982902:LCD982904 LCD917446:LCD917449 LCD917371:LCD917372 LCD917366:LCD917368 LCD851910:LCD851913 LCD851835:LCD851836 LCD851830:LCD851832 LCD786374:LCD786377 LCD786299:LCD786300 LCD786294:LCD786296 LCD720838:LCD720841 LCD720763:LCD720764 LCD720758:LCD720760 LCD655302:LCD655305 LCD655227:LCD655228 LCD655222:LCD655224 LCD589766:LCD589769 LCD589691:LCD589692 LCD589686:LCD589688 LCD524230:LCD524233 LCD524155:LCD524156 LCD524150:LCD524152 LCD458694:LCD458697 LCD458619:LCD458620 LCD458614:LCD458616 LCD393158:LCD393161 LCD393083:LCD393084 LCD393078:LCD393080 LCD327622:LCD327625 LCD327547:LCD327548 LCD327542:LCD327544 LCD262086:LCD262089 LCD262011:LCD262012 LCD262006:LCD262008 LCD196550:LCD196553 LCD196475:LCD196476 LCD196470:LCD196472 LCD131014:LCD131017 LCD130939:LCD130940 LCD130934:LCD130936 LCD65478:LCD65481 LCD65403:LCD65404 LCD65398:LCD65400 KSH982982:KSH982985 KSH982907:KSH982908 KSH982902:KSH982904 KSH917446:KSH917449 KSH917371:KSH917372 KSH917366:KSH917368 KSH851910:KSH851913 KSH851835:KSH851836 KSH851830:KSH851832 KSH786374:KSH786377 KSH786299:KSH786300 KSH786294:KSH786296 KSH720838:KSH720841 KSH720763:KSH720764 KSH720758:KSH720760 KSH655302:KSH655305 KSH655227:KSH655228 KSH655222:KSH655224 KSH589766:KSH589769 KSH589691:KSH589692 KSH589686:KSH589688 KSH524230:KSH524233 KSH524155:KSH524156 KSH524150:KSH524152 KSH458694:KSH458697 KSH458619:KSH458620 KSH458614:KSH458616 KSH393158:KSH393161 KSH393083:KSH393084 KSH393078:KSH393080 KSH327622:KSH327625 KSH327547:KSH327548 KSH327542:KSH327544 KSH262086:KSH262089 KSH262011:KSH262012 KSH262006:KSH262008 KSH196550:KSH196553 KSH196475:KSH196476 KSH196470:KSH196472 KSH131014:KSH131017 KSH130939:KSH130940 KSH130934:KSH130936 KSH65478:KSH65481 KSH65403:KSH65404 KSH65398:KSH65400 KIL982982:KIL982985 KIL982907:KIL982908 KIL982902:KIL982904 KIL917446:KIL917449 KIL917371:KIL917372 KIL917366:KIL917368 KIL851910:KIL851913 KIL851835:KIL851836 KIL851830:KIL851832 KIL786374:KIL786377 KIL786299:KIL786300 KIL786294:KIL786296 KIL720838:KIL720841 KIL720763:KIL720764 KIL720758:KIL720760 KIL655302:KIL655305 KIL655227:KIL655228 KIL655222:KIL655224 KIL589766:KIL589769 KIL589691:KIL589692 KIL589686:KIL589688 KIL524230:KIL524233 KIL524155:KIL524156 KIL524150:KIL524152 KIL458694:KIL458697 KIL458619:KIL458620 KIL458614:KIL458616 KIL393158:KIL393161 KIL393083:KIL393084 KIL393078:KIL393080 KIL327622:KIL327625 KIL327547:KIL327548 KIL327542:KIL327544 KIL262086:KIL262089 KIL262011:KIL262012 KIL262006:KIL262008 KIL196550:KIL196553 KIL196475:KIL196476 KIL196470:KIL196472 KIL131014:KIL131017 KIL130939:KIL130940 KIL130934:KIL130936 KIL65478:KIL65481 KIL65403:KIL65404 KIL65398:KIL65400 JYP982982:JYP982985 JYP982907:JYP982908 JYP982902:JYP982904 JYP917446:JYP917449 JYP917371:JYP917372 JYP917366:JYP917368 JYP851910:JYP851913 JYP851835:JYP851836 JYP851830:JYP851832 JYP786374:JYP786377 JYP786299:JYP786300 JYP786294:JYP786296 JYP720838:JYP720841 JYP720763:JYP720764 JYP720758:JYP720760 JYP655302:JYP655305 JYP655227:JYP655228 JYP655222:JYP655224 JYP589766:JYP589769 JYP589691:JYP589692 JYP589686:JYP589688 JYP524230:JYP524233 JYP524155:JYP524156 JYP524150:JYP524152 JYP458694:JYP458697 JYP458619:JYP458620 JYP458614:JYP458616 JYP393158:JYP393161 JYP393083:JYP393084 JYP393078:JYP393080 JYP327622:JYP327625 JYP327547:JYP327548 JYP327542:JYP327544 JYP262086:JYP262089 JYP262011:JYP262012 JYP262006:JYP262008 JYP196550:JYP196553 JYP196475:JYP196476 JYP196470:JYP196472 JYP131014:JYP131017 JYP130939:JYP130940 JYP130934:JYP130936 JYP65478:JYP65481 JYP65403:JYP65404 JYP65398:JYP65400 JOT982982:JOT982985 JOT982907:JOT982908 JOT982902:JOT982904 JOT917446:JOT917449 JOT917371:JOT917372 JOT917366:JOT917368 JOT851910:JOT851913 JOT851835:JOT851836 JOT851830:JOT851832 JOT786374:JOT786377 JOT786299:JOT786300 JOT786294:JOT786296 JOT720838:JOT720841 JOT720763:JOT720764 JOT720758:JOT720760 JOT655302:JOT655305 JOT655227:JOT655228 JOT655222:JOT655224 JOT589766:JOT589769 JOT589691:JOT589692 JOT589686:JOT589688 JOT524230:JOT524233 JOT524155:JOT524156 JOT524150:JOT524152 JOT458694:JOT458697 JOT458619:JOT458620 JOT458614:JOT458616 JOT393158:JOT393161 JOT393083:JOT393084 JOT393078:JOT393080 JOT327622:JOT327625 JOT327547:JOT327548 JOT327542:JOT327544 JOT262086:JOT262089 JOT262011:JOT262012 JOT262006:JOT262008 JOT196550:JOT196553 JOT196475:JOT196476 JOT196470:JOT196472 JOT131014:JOT131017 JOT130939:JOT130940 JOT130934:JOT130936 JOT65478:JOT65481 JOT65403:JOT65404 JOT65398:JOT65400 JEX982982:JEX982985 JEX982907:JEX982908 JEX982902:JEX982904 JEX917446:JEX917449 JEX917371:JEX917372 JEX917366:JEX917368 JEX851910:JEX851913 JEX851835:JEX851836 JEX851830:JEX851832 JEX786374:JEX786377 JEX786299:JEX786300 JEX786294:JEX786296 JEX720838:JEX720841 JEX720763:JEX720764 JEX720758:JEX720760 JEX655302:JEX655305 JEX655227:JEX655228 JEX655222:JEX655224 JEX589766:JEX589769 JEX589691:JEX589692 JEX589686:JEX589688 JEX524230:JEX524233 JEX524155:JEX524156 JEX524150:JEX524152 JEX458694:JEX458697 JEX458619:JEX458620 JEX458614:JEX458616 JEX393158:JEX393161 JEX393083:JEX393084 JEX393078:JEX393080 JEX327622:JEX327625 JEX327547:JEX327548 JEX327542:JEX327544 JEX262086:JEX262089 JEX262011:JEX262012 JEX262006:JEX262008 JEX196550:JEX196553 JEX196475:JEX196476 JEX196470:JEX196472 JEX131014:JEX131017 JEX130939:JEX130940 JEX130934:JEX130936 JEX65478:JEX65481 JEX65403:JEX65404 JEX65398:JEX65400 IVB982982:IVB982985 IVB982907:IVB982908 IVB982902:IVB982904 IVB917446:IVB917449 IVB917371:IVB917372 IVB917366:IVB917368 IVB851910:IVB851913 IVB851835:IVB851836 IVB851830:IVB851832 IVB786374:IVB786377 IVB786299:IVB786300 IVB786294:IVB786296 IVB720838:IVB720841 IVB720763:IVB720764 IVB720758:IVB720760 IVB655302:IVB655305 IVB655227:IVB655228 IVB655222:IVB655224 IVB589766:IVB589769 IVB589691:IVB589692 IVB589686:IVB589688 IVB524230:IVB524233 IVB524155:IVB524156 IVB524150:IVB524152 IVB458694:IVB458697 IVB458619:IVB458620 IVB458614:IVB458616 IVB393158:IVB393161 IVB393083:IVB393084 IVB393078:IVB393080 IVB327622:IVB327625 IVB327547:IVB327548 IVB327542:IVB327544 IVB262086:IVB262089 IVB262011:IVB262012 IVB262006:IVB262008 IVB196550:IVB196553 IVB196475:IVB196476 IVB196470:IVB196472 IVB131014:IVB131017 IVB130939:IVB130940 IVB130934:IVB130936 IVB65478:IVB65481 IVB65403:IVB65404 IVB65398:IVB65400 ILF982982:ILF982985 ILF982907:ILF982908 ILF982902:ILF982904 ILF917446:ILF917449 ILF917371:ILF917372 ILF917366:ILF917368 ILF851910:ILF851913 ILF851835:ILF851836 ILF851830:ILF851832 ILF786374:ILF786377 ILF786299:ILF786300 ILF786294:ILF786296 ILF720838:ILF720841 ILF720763:ILF720764 ILF720758:ILF720760 ILF655302:ILF655305 ILF655227:ILF655228 ILF655222:ILF655224 ILF589766:ILF589769 ILF589691:ILF589692 ILF589686:ILF589688 ILF524230:ILF524233 ILF524155:ILF524156 ILF524150:ILF524152 ILF458694:ILF458697 ILF458619:ILF458620 ILF458614:ILF458616 ILF393158:ILF393161 ILF393083:ILF393084 ILF393078:ILF393080 ILF327622:ILF327625 ILF327547:ILF327548 ILF327542:ILF327544 ILF262086:ILF262089 ILF262011:ILF262012 ILF262006:ILF262008 ILF196550:ILF196553 ILF196475:ILF196476 ILF196470:ILF196472 ILF131014:ILF131017 ILF130939:ILF130940 ILF130934:ILF130936 ILF65478:ILF65481 ILF65403:ILF65404 ILF65398:ILF65400 IBJ982982:IBJ982985 IBJ982907:IBJ982908 IBJ982902:IBJ982904 IBJ917446:IBJ917449 IBJ917371:IBJ917372 IBJ917366:IBJ917368 IBJ851910:IBJ851913 IBJ851835:IBJ851836 IBJ851830:IBJ851832 IBJ786374:IBJ786377 IBJ786299:IBJ786300 IBJ786294:IBJ786296 IBJ720838:IBJ720841 IBJ720763:IBJ720764 IBJ720758:IBJ720760 IBJ655302:IBJ655305 IBJ655227:IBJ655228 IBJ655222:IBJ655224 IBJ589766:IBJ589769 IBJ589691:IBJ589692 IBJ589686:IBJ589688 IBJ524230:IBJ524233 IBJ524155:IBJ524156 IBJ524150:IBJ524152 IBJ458694:IBJ458697 IBJ458619:IBJ458620 IBJ458614:IBJ458616 IBJ393158:IBJ393161 IBJ393083:IBJ393084 IBJ393078:IBJ393080 IBJ327622:IBJ327625 IBJ327547:IBJ327548 IBJ327542:IBJ327544 IBJ262086:IBJ262089 IBJ262011:IBJ262012 IBJ262006:IBJ262008 IBJ196550:IBJ196553 IBJ196475:IBJ196476 IBJ196470:IBJ196472 IBJ131014:IBJ131017 IBJ130939:IBJ130940 IBJ130934:IBJ130936 IBJ65478:IBJ65481 IBJ65403:IBJ65404 IBJ65398:IBJ65400 HRN982982:HRN982985 HRN982907:HRN982908 HRN982902:HRN982904 HRN917446:HRN917449 HRN917371:HRN917372 HRN917366:HRN917368 HRN851910:HRN851913 HRN851835:HRN851836 HRN851830:HRN851832 HRN786374:HRN786377 HRN786299:HRN786300 HRN786294:HRN786296 HRN720838:HRN720841 HRN720763:HRN720764 HRN720758:HRN720760 HRN655302:HRN655305 HRN655227:HRN655228 HRN655222:HRN655224 HRN589766:HRN589769 HRN589691:HRN589692 HRN589686:HRN589688 HRN524230:HRN524233 HRN524155:HRN524156 HRN524150:HRN524152 HRN458694:HRN458697 HRN458619:HRN458620 HRN458614:HRN458616 HRN393158:HRN393161 HRN393083:HRN393084 HRN393078:HRN393080 HRN327622:HRN327625 HRN327547:HRN327548 HRN327542:HRN327544 HRN262086:HRN262089 HRN262011:HRN262012 HRN262006:HRN262008 HRN196550:HRN196553 HRN196475:HRN196476 HRN196470:HRN196472 HRN131014:HRN131017 HRN130939:HRN130940 HRN130934:HRN130936 HRN65478:HRN65481 HRN65403:HRN65404 HRN65398:HRN65400 HHR982982:HHR982985 HHR982907:HHR982908 HHR982902:HHR982904 HHR917446:HHR917449 HHR917371:HHR917372 HHR917366:HHR917368 HHR851910:HHR851913 HHR851835:HHR851836 HHR851830:HHR851832 HHR786374:HHR786377 HHR786299:HHR786300 HHR786294:HHR786296 HHR720838:HHR720841 HHR720763:HHR720764 HHR720758:HHR720760 HHR655302:HHR655305 HHR655227:HHR655228 HHR655222:HHR655224 HHR589766:HHR589769 HHR589691:HHR589692 HHR589686:HHR589688 HHR524230:HHR524233 HHR524155:HHR524156 HHR524150:HHR524152 HHR458694:HHR458697 HHR458619:HHR458620 HHR458614:HHR458616 HHR393158:HHR393161 HHR393083:HHR393084 HHR393078:HHR393080 HHR327622:HHR327625 HHR327547:HHR327548 HHR327542:HHR327544 HHR262086:HHR262089 HHR262011:HHR262012 HHR262006:HHR262008 HHR196550:HHR196553 HHR196475:HHR196476 HHR196470:HHR196472 HHR131014:HHR131017 HHR130939:HHR130940 HHR130934:HHR130936 HHR65478:HHR65481 HHR65403:HHR65404 HHR65398:HHR65400 GXV982982:GXV982985 GXV982907:GXV982908 GXV982902:GXV982904 GXV917446:GXV917449 GXV917371:GXV917372 GXV917366:GXV917368 GXV851910:GXV851913 GXV851835:GXV851836 GXV851830:GXV851832 GXV786374:GXV786377 GXV786299:GXV786300 GXV786294:GXV786296 GXV720838:GXV720841 GXV720763:GXV720764 GXV720758:GXV720760 GXV655302:GXV655305 GXV655227:GXV655228 GXV655222:GXV655224 GXV589766:GXV589769 GXV589691:GXV589692 GXV589686:GXV589688 GXV524230:GXV524233 GXV524155:GXV524156 GXV524150:GXV524152 GXV458694:GXV458697 GXV458619:GXV458620 GXV458614:GXV458616 GXV393158:GXV393161 GXV393083:GXV393084 GXV393078:GXV393080 GXV327622:GXV327625 GXV327547:GXV327548 GXV327542:GXV327544 GXV262086:GXV262089 GXV262011:GXV262012 GXV262006:GXV262008 GXV196550:GXV196553 GXV196475:GXV196476 GXV196470:GXV196472 GXV131014:GXV131017 GXV130939:GXV130940 GXV130934:GXV130936 GXV65478:GXV65481 GXV65403:GXV65404 GXV65398:GXV65400 GNZ982982:GNZ982985 GNZ982907:GNZ982908 GNZ982902:GNZ982904 GNZ917446:GNZ917449 GNZ917371:GNZ917372 GNZ917366:GNZ917368 GNZ851910:GNZ851913 GNZ851835:GNZ851836 GNZ851830:GNZ851832 GNZ786374:GNZ786377 GNZ786299:GNZ786300 GNZ786294:GNZ786296 GNZ720838:GNZ720841 GNZ720763:GNZ720764 GNZ720758:GNZ720760 GNZ655302:GNZ655305 GNZ655227:GNZ655228 GNZ655222:GNZ655224 GNZ589766:GNZ589769 GNZ589691:GNZ589692 GNZ589686:GNZ589688 GNZ524230:GNZ524233 GNZ524155:GNZ524156 GNZ524150:GNZ524152 GNZ458694:GNZ458697 GNZ458619:GNZ458620 GNZ458614:GNZ458616 GNZ393158:GNZ393161 GNZ393083:GNZ393084 GNZ393078:GNZ393080 GNZ327622:GNZ327625 GNZ327547:GNZ327548 GNZ327542:GNZ327544 GNZ262086:GNZ262089 GNZ262011:GNZ262012 GNZ262006:GNZ262008 GNZ196550:GNZ196553 GNZ196475:GNZ196476 GNZ196470:GNZ196472 GNZ131014:GNZ131017 GNZ130939:GNZ130940 GNZ130934:GNZ130936 GNZ65478:GNZ65481 GNZ65403:GNZ65404 GNZ65398:GNZ65400 GED982982:GED982985 GED982907:GED982908 GED982902:GED982904 GED917446:GED917449 GED917371:GED917372 GED917366:GED917368 GED851910:GED851913 GED851835:GED851836 GED851830:GED851832 GED786374:GED786377 GED786299:GED786300 GED786294:GED786296 GED720838:GED720841 GED720763:GED720764 GED720758:GED720760 GED655302:GED655305 GED655227:GED655228 GED655222:GED655224 GED589766:GED589769 GED589691:GED589692 GED589686:GED589688 GED524230:GED524233 GED524155:GED524156 GED524150:GED524152 GED458694:GED458697 GED458619:GED458620 GED458614:GED458616 GED393158:GED393161 GED393083:GED393084 GED393078:GED393080 GED327622:GED327625 GED327547:GED327548 GED327542:GED327544 GED262086:GED262089 GED262011:GED262012 GED262006:GED262008 GED196550:GED196553 GED196475:GED196476 GED196470:GED196472 GED131014:GED131017 GED130939:GED130940 GED130934:GED130936 GED65478:GED65481 GED65403:GED65404 GED65398:GED65400 FUH982982:FUH982985 FUH982907:FUH982908 FUH982902:FUH982904 FUH917446:FUH917449 FUH917371:FUH917372 FUH917366:FUH917368 FUH851910:FUH851913 FUH851835:FUH851836 FUH851830:FUH851832 FUH786374:FUH786377 FUH786299:FUH786300 FUH786294:FUH786296 FUH720838:FUH720841 FUH720763:FUH720764 FUH720758:FUH720760 FUH655302:FUH655305 FUH655227:FUH655228 FUH655222:FUH655224 FUH589766:FUH589769 FUH589691:FUH589692 FUH589686:FUH589688 FUH524230:FUH524233 FUH524155:FUH524156 FUH524150:FUH524152 FUH458694:FUH458697 FUH458619:FUH458620 FUH458614:FUH458616 FUH393158:FUH393161 FUH393083:FUH393084 FUH393078:FUH393080 FUH327622:FUH327625 FUH327547:FUH327548 FUH327542:FUH327544 FUH262086:FUH262089 FUH262011:FUH262012 FUH262006:FUH262008 FUH196550:FUH196553 FUH196475:FUH196476 FUH196470:FUH196472 FUH131014:FUH131017 FUH130939:FUH130940 FUH130934:FUH130936 FUH65478:FUH65481 FUH65403:FUH65404 FUH65398:FUH65400 FKL982982:FKL982985 FKL982907:FKL982908 FKL982902:FKL982904 FKL917446:FKL917449 FKL917371:FKL917372 FKL917366:FKL917368 FKL851910:FKL851913 FKL851835:FKL851836 FKL851830:FKL851832 FKL786374:FKL786377 FKL786299:FKL786300 FKL786294:FKL786296 FKL720838:FKL720841 FKL720763:FKL720764 FKL720758:FKL720760 FKL655302:FKL655305 FKL655227:FKL655228 FKL655222:FKL655224 FKL589766:FKL589769 FKL589691:FKL589692 FKL589686:FKL589688 FKL524230:FKL524233 FKL524155:FKL524156 FKL524150:FKL524152 FKL458694:FKL458697 FKL458619:FKL458620 FKL458614:FKL458616 FKL393158:FKL393161 FKL393083:FKL393084 FKL393078:FKL393080 FKL327622:FKL327625 FKL327547:FKL327548 FKL327542:FKL327544 FKL262086:FKL262089 FKL262011:FKL262012 FKL262006:FKL262008 FKL196550:FKL196553 FKL196475:FKL196476 FKL196470:FKL196472 FKL131014:FKL131017 FKL130939:FKL130940 FKL130934:FKL130936 FKL65478:FKL65481 FKL65403:FKL65404 FKL65398:FKL65400 FAP982982:FAP982985 FAP982907:FAP982908 FAP982902:FAP982904 FAP917446:FAP917449 FAP917371:FAP917372 FAP917366:FAP917368 FAP851910:FAP851913 FAP851835:FAP851836 FAP851830:FAP851832 FAP786374:FAP786377 FAP786299:FAP786300 FAP786294:FAP786296 FAP720838:FAP720841 FAP720763:FAP720764 FAP720758:FAP720760 FAP655302:FAP655305 FAP655227:FAP655228 FAP655222:FAP655224 FAP589766:FAP589769 FAP589691:FAP589692 FAP589686:FAP589688 FAP524230:FAP524233 FAP524155:FAP524156 FAP524150:FAP524152 FAP458694:FAP458697 FAP458619:FAP458620 FAP458614:FAP458616 FAP393158:FAP393161 FAP393083:FAP393084 FAP393078:FAP393080 FAP327622:FAP327625 FAP327547:FAP327548 FAP327542:FAP327544 FAP262086:FAP262089 FAP262011:FAP262012 FAP262006:FAP262008 FAP196550:FAP196553 FAP196475:FAP196476 FAP196470:FAP196472 FAP131014:FAP131017 FAP130939:FAP130940 FAP130934:FAP130936 FAP65478:FAP65481 FAP65403:FAP65404 FAP65398:FAP65400 EQT982982:EQT982985 EQT982907:EQT982908 EQT982902:EQT982904 EQT917446:EQT917449 EQT917371:EQT917372 EQT917366:EQT917368 EQT851910:EQT851913 EQT851835:EQT851836 EQT851830:EQT851832 EQT786374:EQT786377 EQT786299:EQT786300 EQT786294:EQT786296 EQT720838:EQT720841 EQT720763:EQT720764 EQT720758:EQT720760 EQT655302:EQT655305 EQT655227:EQT655228 EQT655222:EQT655224 EQT589766:EQT589769 EQT589691:EQT589692 EQT589686:EQT589688 EQT524230:EQT524233 EQT524155:EQT524156 EQT524150:EQT524152 EQT458694:EQT458697 EQT458619:EQT458620 EQT458614:EQT458616 EQT393158:EQT393161 EQT393083:EQT393084 EQT393078:EQT393080 EQT327622:EQT327625 EQT327547:EQT327548 EQT327542:EQT327544 EQT262086:EQT262089 EQT262011:EQT262012 EQT262006:EQT262008 EQT196550:EQT196553 EQT196475:EQT196476 EQT196470:EQT196472 EQT131014:EQT131017 EQT130939:EQT130940 EQT130934:EQT130936 EQT65478:EQT65481 EQT65403:EQT65404 EQT65398:EQT65400 EGX982982:EGX982985 EGX982907:EGX982908 EGX982902:EGX982904 EGX917446:EGX917449 EGX917371:EGX917372 EGX917366:EGX917368 EGX851910:EGX851913 EGX851835:EGX851836 EGX851830:EGX851832 EGX786374:EGX786377 EGX786299:EGX786300 EGX786294:EGX786296 EGX720838:EGX720841 EGX720763:EGX720764 EGX720758:EGX720760 EGX655302:EGX655305 EGX655227:EGX655228 EGX655222:EGX655224 EGX589766:EGX589769 EGX589691:EGX589692 EGX589686:EGX589688 EGX524230:EGX524233 EGX524155:EGX524156 EGX524150:EGX524152 EGX458694:EGX458697 EGX458619:EGX458620 EGX458614:EGX458616 EGX393158:EGX393161 EGX393083:EGX393084 EGX393078:EGX393080 EGX327622:EGX327625 EGX327547:EGX327548 EGX327542:EGX327544 EGX262086:EGX262089 EGX262011:EGX262012 EGX262006:EGX262008 EGX196550:EGX196553 EGX196475:EGX196476 EGX196470:EGX196472 EGX131014:EGX131017 EGX130939:EGX130940 EGX130934:EGX130936 EGX65478:EGX65481 EGX65403:EGX65404 EGX65398:EGX65400 DXB982982:DXB982985 DXB982907:DXB982908 DXB982902:DXB982904 DXB917446:DXB917449 DXB917371:DXB917372 DXB917366:DXB917368 DXB851910:DXB851913 DXB851835:DXB851836 DXB851830:DXB851832 DXB786374:DXB786377 DXB786299:DXB786300 DXB786294:DXB786296 DXB720838:DXB720841 DXB720763:DXB720764 DXB720758:DXB720760 DXB655302:DXB655305 DXB655227:DXB655228 DXB655222:DXB655224 DXB589766:DXB589769 DXB589691:DXB589692 DXB589686:DXB589688 DXB524230:DXB524233 DXB524155:DXB524156 DXB524150:DXB524152 DXB458694:DXB458697 DXB458619:DXB458620 DXB458614:DXB458616 DXB393158:DXB393161 DXB393083:DXB393084 DXB393078:DXB393080 DXB327622:DXB327625 DXB327547:DXB327548 DXB327542:DXB327544 DXB262086:DXB262089 DXB262011:DXB262012 DXB262006:DXB262008 DXB196550:DXB196553 DXB196475:DXB196476 DXB196470:DXB196472 DXB131014:DXB131017 DXB130939:DXB130940 DXB130934:DXB130936 DXB65478:DXB65481 DXB65403:DXB65404 DXB65398:DXB65400 DNF982982:DNF982985 DNF982907:DNF982908 DNF982902:DNF982904 DNF917446:DNF917449 DNF917371:DNF917372 DNF917366:DNF917368 DNF851910:DNF851913 DNF851835:DNF851836 DNF851830:DNF851832 DNF786374:DNF786377 DNF786299:DNF786300 DNF786294:DNF786296 DNF720838:DNF720841 DNF720763:DNF720764 DNF720758:DNF720760 DNF655302:DNF655305 DNF655227:DNF655228 DNF655222:DNF655224 DNF589766:DNF589769 DNF589691:DNF589692 DNF589686:DNF589688 DNF524230:DNF524233 DNF524155:DNF524156 DNF524150:DNF524152 DNF458694:DNF458697 DNF458619:DNF458620 DNF458614:DNF458616 DNF393158:DNF393161 DNF393083:DNF393084 DNF393078:DNF393080 DNF327622:DNF327625 DNF327547:DNF327548 DNF327542:DNF327544 DNF262086:DNF262089 DNF262011:DNF262012 DNF262006:DNF262008 DNF196550:DNF196553 DNF196475:DNF196476 DNF196470:DNF196472 DNF131014:DNF131017 DNF130939:DNF130940 DNF130934:DNF130936 DNF65478:DNF65481 DNF65403:DNF65404 DNF65398:DNF65400 DDJ982982:DDJ982985 DDJ982907:DDJ982908 DDJ982902:DDJ982904 DDJ917446:DDJ917449 DDJ917371:DDJ917372 DDJ917366:DDJ917368 DDJ851910:DDJ851913 DDJ851835:DDJ851836 DDJ851830:DDJ851832 DDJ786374:DDJ786377 DDJ786299:DDJ786300 DDJ786294:DDJ786296 DDJ720838:DDJ720841 DDJ720763:DDJ720764 DDJ720758:DDJ720760 DDJ655302:DDJ655305 DDJ655227:DDJ655228 DDJ655222:DDJ655224 DDJ589766:DDJ589769 DDJ589691:DDJ589692 DDJ589686:DDJ589688 DDJ524230:DDJ524233 DDJ524155:DDJ524156 DDJ524150:DDJ524152 DDJ458694:DDJ458697 DDJ458619:DDJ458620 DDJ458614:DDJ458616 DDJ393158:DDJ393161 DDJ393083:DDJ393084 DDJ393078:DDJ393080 DDJ327622:DDJ327625 DDJ327547:DDJ327548 DDJ327542:DDJ327544 DDJ262086:DDJ262089 DDJ262011:DDJ262012 DDJ262006:DDJ262008 DDJ196550:DDJ196553 DDJ196475:DDJ196476 DDJ196470:DDJ196472 DDJ131014:DDJ131017 DDJ130939:DDJ130940 DDJ130934:DDJ130936 DDJ65478:DDJ65481 DDJ65403:DDJ65404 DDJ65398:DDJ65400 CTN982982:CTN982985 CTN982907:CTN982908 CTN982902:CTN982904 CTN917446:CTN917449 CTN917371:CTN917372 CTN917366:CTN917368 CTN851910:CTN851913 CTN851835:CTN851836 CTN851830:CTN851832 CTN786374:CTN786377 CTN786299:CTN786300 CTN786294:CTN786296 CTN720838:CTN720841 CTN720763:CTN720764 CTN720758:CTN720760 CTN655302:CTN655305 CTN655227:CTN655228 CTN655222:CTN655224 CTN589766:CTN589769 CTN589691:CTN589692 CTN589686:CTN589688 CTN524230:CTN524233 CTN524155:CTN524156 CTN524150:CTN524152 CTN458694:CTN458697 CTN458619:CTN458620 CTN458614:CTN458616 CTN393158:CTN393161 CTN393083:CTN393084 CTN393078:CTN393080 CTN327622:CTN327625 CTN327547:CTN327548 CTN327542:CTN327544 CTN262086:CTN262089 CTN262011:CTN262012 CTN262006:CTN262008 CTN196550:CTN196553 CTN196475:CTN196476 CTN196470:CTN196472 CTN131014:CTN131017 CTN130939:CTN130940 CTN130934:CTN130936 CTN65478:CTN65481 CTN65403:CTN65404 CTN65398:CTN65400 CJR982982:CJR982985 CJR982907:CJR982908 CJR982902:CJR982904 CJR917446:CJR917449 CJR917371:CJR917372 CJR917366:CJR917368 CJR851910:CJR851913 CJR851835:CJR851836 CJR851830:CJR851832 CJR786374:CJR786377 CJR786299:CJR786300 CJR786294:CJR786296 CJR720838:CJR720841 CJR720763:CJR720764 CJR720758:CJR720760 CJR655302:CJR655305 CJR655227:CJR655228 CJR655222:CJR655224 CJR589766:CJR589769 CJR589691:CJR589692 CJR589686:CJR589688 CJR524230:CJR524233 CJR524155:CJR524156 CJR524150:CJR524152 CJR458694:CJR458697 CJR458619:CJR458620 CJR458614:CJR458616 CJR393158:CJR393161 CJR393083:CJR393084 CJR393078:CJR393080 CJR327622:CJR327625 CJR327547:CJR327548 CJR327542:CJR327544 CJR262086:CJR262089 CJR262011:CJR262012 CJR262006:CJR262008 CJR196550:CJR196553 CJR196475:CJR196476 CJR196470:CJR196472 CJR131014:CJR131017 CJR130939:CJR130940 CJR130934:CJR130936 CJR65478:CJR65481 CJR65403:CJR65404 CJR65398:CJR65400 BZV982982:BZV982985 BZV982907:BZV982908 BZV982902:BZV982904 BZV917446:BZV917449 BZV917371:BZV917372 BZV917366:BZV917368 BZV851910:BZV851913 BZV851835:BZV851836 BZV851830:BZV851832 BZV786374:BZV786377 BZV786299:BZV786300 BZV786294:BZV786296 BZV720838:BZV720841 BZV720763:BZV720764 BZV720758:BZV720760 BZV655302:BZV655305 BZV655227:BZV655228 BZV655222:BZV655224 BZV589766:BZV589769 BZV589691:BZV589692 BZV589686:BZV589688 BZV524230:BZV524233 BZV524155:BZV524156 BZV524150:BZV524152 BZV458694:BZV458697 BZV458619:BZV458620 BZV458614:BZV458616 BZV393158:BZV393161 BZV393083:BZV393084 BZV393078:BZV393080 BZV327622:BZV327625 BZV327547:BZV327548 BZV327542:BZV327544 BZV262086:BZV262089 BZV262011:BZV262012 BZV262006:BZV262008 BZV196550:BZV196553 BZV196475:BZV196476 BZV196470:BZV196472 BZV131014:BZV131017 BZV130939:BZV130940 BZV130934:BZV130936 BZV65478:BZV65481 BZV65403:BZV65404 BZV65398:BZV65400 BPZ982982:BPZ982985 BPZ982907:BPZ982908 BPZ982902:BPZ982904 BPZ917446:BPZ917449 BPZ917371:BPZ917372 BPZ917366:BPZ917368 BPZ851910:BPZ851913 BPZ851835:BPZ851836 BPZ851830:BPZ851832 BPZ786374:BPZ786377 BPZ786299:BPZ786300 BPZ786294:BPZ786296 BPZ720838:BPZ720841 BPZ720763:BPZ720764 BPZ720758:BPZ720760 BPZ655302:BPZ655305 BPZ655227:BPZ655228 BPZ655222:BPZ655224 BPZ589766:BPZ589769 BPZ589691:BPZ589692 BPZ589686:BPZ589688 BPZ524230:BPZ524233 BPZ524155:BPZ524156 BPZ524150:BPZ524152 BPZ458694:BPZ458697 BPZ458619:BPZ458620 BPZ458614:BPZ458616 BPZ393158:BPZ393161 BPZ393083:BPZ393084 BPZ393078:BPZ393080 BPZ327622:BPZ327625 BPZ327547:BPZ327548 BPZ327542:BPZ327544 BPZ262086:BPZ262089 BPZ262011:BPZ262012 BPZ262006:BPZ262008 BPZ196550:BPZ196553 BPZ196475:BPZ196476 BPZ196470:BPZ196472 BPZ131014:BPZ131017 BPZ130939:BPZ130940 BPZ130934:BPZ130936 BPZ65478:BPZ65481 BPZ65403:BPZ65404 BPZ65398:BPZ65400 BGD982982:BGD982985 BGD982907:BGD982908 BGD982902:BGD982904 BGD917446:BGD917449 BGD917371:BGD917372 BGD917366:BGD917368 BGD851910:BGD851913 BGD851835:BGD851836 BGD851830:BGD851832 BGD786374:BGD786377 BGD786299:BGD786300 BGD786294:BGD786296 BGD720838:BGD720841 BGD720763:BGD720764 BGD720758:BGD720760 BGD655302:BGD655305 BGD655227:BGD655228 BGD655222:BGD655224 BGD589766:BGD589769 BGD589691:BGD589692 BGD589686:BGD589688 BGD524230:BGD524233 BGD524155:BGD524156 BGD524150:BGD524152 BGD458694:BGD458697 BGD458619:BGD458620 BGD458614:BGD458616 BGD393158:BGD393161 BGD393083:BGD393084 BGD393078:BGD393080 BGD327622:BGD327625 BGD327547:BGD327548 BGD327542:BGD327544 BGD262086:BGD262089 BGD262011:BGD262012 BGD262006:BGD262008 BGD196550:BGD196553 BGD196475:BGD196476 BGD196470:BGD196472 BGD131014:BGD131017 BGD130939:BGD130940 BGD130934:BGD130936 BGD65478:BGD65481 BGD65403:BGD65404 BGD65398:BGD65400 AWH982982:AWH982985 AWH982907:AWH982908 AWH982902:AWH982904 AWH917446:AWH917449 AWH917371:AWH917372 AWH917366:AWH917368 AWH851910:AWH851913 AWH851835:AWH851836 AWH851830:AWH851832 AWH786374:AWH786377 AWH786299:AWH786300 AWH786294:AWH786296 AWH720838:AWH720841 AWH720763:AWH720764 AWH720758:AWH720760 AWH655302:AWH655305 AWH655227:AWH655228 AWH655222:AWH655224 AWH589766:AWH589769 AWH589691:AWH589692 AWH589686:AWH589688 AWH524230:AWH524233 AWH524155:AWH524156 AWH524150:AWH524152 AWH458694:AWH458697 AWH458619:AWH458620 AWH458614:AWH458616 AWH393158:AWH393161 AWH393083:AWH393084 AWH393078:AWH393080 AWH327622:AWH327625 AWH327547:AWH327548 AWH327542:AWH327544 AWH262086:AWH262089 AWH262011:AWH262012 AWH262006:AWH262008 AWH196550:AWH196553 AWH196475:AWH196476 AWH196470:AWH196472 AWH131014:AWH131017 AWH130939:AWH130940 AWH130934:AWH130936 AWH65478:AWH65481 AWH65403:AWH65404 AWH65398:AWH65400 AML982982:AML982985 AML982907:AML982908 AML982902:AML982904 AML917446:AML917449 AML917371:AML917372 AML917366:AML917368 AML851910:AML851913 AML851835:AML851836 AML851830:AML851832 AML786374:AML786377 AML786299:AML786300 AML786294:AML786296 AML720838:AML720841 AML720763:AML720764 AML720758:AML720760 AML655302:AML655305 AML655227:AML655228 AML655222:AML655224 AML589766:AML589769 AML589691:AML589692 AML589686:AML589688 AML524230:AML524233 AML524155:AML524156 AML524150:AML524152 AML458694:AML458697 AML458619:AML458620 AML458614:AML458616 AML393158:AML393161 AML393083:AML393084 AML393078:AML393080 AML327622:AML327625 AML327547:AML327548 AML327542:AML327544 AML262086:AML262089 AML262011:AML262012 AML262006:AML262008 AML196550:AML196553 AML196475:AML196476 AML196470:AML196472 AML131014:AML131017 AML130939:AML130940 AML130934:AML130936 AML65478:AML65481 AML65403:AML65404 AML65398:AML65400 ACP982982:ACP982985 ACP982907:ACP982908 ACP982902:ACP982904 ACP917446:ACP917449 ACP917371:ACP917372 ACP917366:ACP917368 ACP851910:ACP851913 ACP851835:ACP851836 ACP851830:ACP851832 ACP786374:ACP786377 ACP786299:ACP786300 ACP786294:ACP786296 ACP720838:ACP720841 ACP720763:ACP720764 ACP720758:ACP720760 ACP655302:ACP655305 ACP655227:ACP655228 ACP655222:ACP655224 ACP589766:ACP589769 ACP589691:ACP589692 ACP589686:ACP589688 ACP524230:ACP524233 ACP524155:ACP524156 ACP524150:ACP524152 ACP458694:ACP458697 ACP458619:ACP458620 ACP458614:ACP458616 ACP393158:ACP393161 ACP393083:ACP393084 ACP393078:ACP393080 ACP327622:ACP327625 ACP327547:ACP327548 ACP327542:ACP327544 ACP262086:ACP262089 ACP262011:ACP262012 ACP262006:ACP262008 ACP196550:ACP196553 ACP196475:ACP196476 ACP196470:ACP196472 ACP131014:ACP131017 ACP130939:ACP130940 ACP130934:ACP130936 ACP65478:ACP65481 ACP65403:ACP65404 ACP65398:ACP65400 ST982982:ST982985 ST982907:ST982908 ST982902:ST982904 ST917446:ST917449 ST917371:ST917372 ST917366:ST917368 ST851910:ST851913 ST851835:ST851836 ST851830:ST851832 ST786374:ST786377 ST786299:ST786300 ST786294:ST786296 ST720838:ST720841 ST720763:ST720764 ST720758:ST720760 ST655302:ST655305 ST655227:ST655228 ST655222:ST655224 ST589766:ST589769 ST589691:ST589692 ST589686:ST589688 ST524230:ST524233 ST524155:ST524156 ST524150:ST524152 ST458694:ST458697 ST458619:ST458620 ST458614:ST458616 ST393158:ST393161 ST393083:ST393084 ST393078:ST393080 ST327622:ST327625 ST327547:ST327548 ST327542:ST327544 ST262086:ST262089 ST262011:ST262012 ST262006:ST262008 ST196550:ST196553 ST196475:ST196476 ST196470:ST196472 ST131014:ST131017 ST130939:ST130940 ST130934:ST130936 ST65478:ST65481 ST65403:ST65404 ST65398:ST65400 IX982982:IX982985 IX982907:IX982908 IX982902:IX982904 IX917446:IX917449 IX917371:IX917372 IX917366:IX917368 IX851910:IX851913 IX851835:IX851836 IX851830:IX851832 IX786374:IX786377 IX786299:IX786300 IX786294:IX786296 IX720838:IX720841 IX720763:IX720764 IX720758:IX720760 IX655302:IX655305 IX655227:IX655228 IX655222:IX655224 IX589766:IX589769 IX589691:IX589692 IX589686:IX589688 IX524230:IX524233 IX524155:IX524156 IX524150:IX524152 IX458694:IX458697 IX458619:IX458620 IX458614:IX458616 IX393158:IX393161 IX393083:IX393084 IX393078:IX393080 IX327622:IX327625 IX327547:IX327548 IX327542:IX327544 IX262086:IX262089 IX262011:IX262012 IX262006:IX262008 IX196550:IX196553 IX196475:IX196476 IX196470:IX196472 IX131014:IX131017 IX130939:IX130940 IX130934:IX130936 IX65478:IX65481 IX65403:IX65404 IX65398:IX65400 WVJ982927:WVJ982932 WLN982927:WLN982932 WBR982927:WBR982932 VRV982927:VRV982932 VHZ982927:VHZ982932 UYD982927:UYD982932 UOH982927:UOH982932 UEL982927:UEL982932 TUP982927:TUP982932 TKT982927:TKT982932 TAX982927:TAX982932 SRB982927:SRB982932 SHF982927:SHF982932 RXJ982927:RXJ982932 RNN982927:RNN982932 RDR982927:RDR982932 QTV982927:QTV982932 QJZ982927:QJZ982932 QAD982927:QAD982932 PQH982927:PQH982932 PGL982927:PGL982932 OWP982927:OWP982932 OMT982927:OMT982932 OCX982927:OCX982932 NTB982927:NTB982932 NJF982927:NJF982932 MZJ982927:MZJ982932 MPN982927:MPN982932 MFR982927:MFR982932 LVV982927:LVV982932 LLZ982927:LLZ982932 LCD982927:LCD982932 KSH982927:KSH982932 KIL982927:KIL982932 JYP982927:JYP982932 JOT982927:JOT982932 JEX982927:JEX982932 IVB982927:IVB982932 ILF982927:ILF982932 IBJ982927:IBJ982932 HRN982927:HRN982932 HHR982927:HHR982932 GXV982927:GXV982932 GNZ982927:GNZ982932 GED982927:GED982932 FUH982927:FUH982932 FKL982927:FKL982932 FAP982927:FAP982932 EQT982927:EQT982932 EGX982927:EGX982932 DXB982927:DXB982932 DNF982927:DNF982932 DDJ982927:DDJ982932 CTN982927:CTN982932 CJR982927:CJR982932 BZV982927:BZV982932 BPZ982927:BPZ982932 BGD982927:BGD982932 AWH982927:AWH982932 AML982927:AML982932 ACP982927:ACP982932 ST982927:ST982932 IX982927:IX982932 WVJ982918 WLN982918 WBR982918 VRV982918 VHZ982918 UYD982918 UOH982918 UEL982918 TUP982918 TKT982918 TAX982918 SRB982918 SHF982918 RXJ982918 RNN982918 RDR982918 QTV982918 QJZ982918 QAD982918 PQH982918 PGL982918 OWP982918 OMT982918 OCX982918 NTB982918 NJF982918 MZJ982918 MPN982918 MFR982918 LVV982918 LLZ982918 LCD982918 KSH982918 KIL982918 JYP982918 JOT982918 JEX982918 IVB982918 ILF982918 IBJ982918 HRN982918 HHR982918 GXV982918 GNZ982918 GED982918 FUH982918 FKL982918 FAP982918 EQT982918 EGX982918 DXB982918 DNF982918 DDJ982918 CTN982918 CJR982918 BZV982918 BPZ982918 BGD982918 AWH982918 AML982918 ACP982918 ST982918 IX982918 WVJ982916 WLN982916 WBR982916 VRV982916 VHZ982916 UYD982916 UOH982916 UEL982916 TUP982916 TKT982916 TAX982916 SRB982916 SHF982916 RXJ982916 RNN982916 RDR982916 QTV982916 QJZ982916 QAD982916 PQH982916 PGL982916 OWP982916 OMT982916 OCX982916 NTB982916 NJF982916 MZJ982916 MPN982916 MFR982916 LVV982916 LLZ982916 LCD982916 KSH982916 KIL982916 JYP982916 JOT982916 JEX982916 IVB982916 ILF982916 IBJ982916 HRN982916 HHR982916 GXV982916 GNZ982916 GED982916 FUH982916 FKL982916 FAP982916 EQT982916 EGX982916 DXB982916 DNF982916 DDJ982916 CTN982916 CJR982916 BZV982916 BPZ982916 BGD982916 AWH982916 AML982916 ACP982916 ST982916 IX982916 WVJ982912 WLN982912 WBR982912 VRV982912 VHZ982912 UYD982912 UOH982912 UEL982912 TUP982912 TKT982912 TAX982912 SRB982912 SHF982912 RXJ982912 RNN982912 RDR982912 QTV982912 QJZ982912 QAD982912 PQH982912 PGL982912 OWP982912 OMT982912 OCX982912 NTB982912 NJF982912 MZJ982912 MPN982912 MFR982912 LVV982912 LLZ982912 LCD982912 KSH982912 KIL982912 JYP982912 JOT982912 JEX982912 IVB982912 ILF982912 IBJ982912 HRN982912 HHR982912 GXV982912 GNZ982912 GED982912 FUH982912 FKL982912 FAP982912 EQT982912 EGX982912 DXB982912 DNF982912 DDJ982912 CTN982912 CJR982912 BZV982912 BPZ982912 BGD982912 AWH982912 AML982912 ACP982912 ST982912 IX982912 WVJ982910 WLN982910 WBR982910 VRV982910 VHZ982910 UYD982910 UOH982910 UEL982910 TUP982910 TKT982910 TAX982910 SRB982910 SHF982910 RXJ982910 RNN982910 RDR982910 QTV982910 QJZ982910 QAD982910 PQH982910 PGL982910 OWP982910 OMT982910 OCX982910 NTB982910 NJF982910 MZJ982910 MPN982910 MFR982910 LVV982910 LLZ982910 LCD982910 KSH982910 KIL982910 JYP982910 JOT982910 JEX982910 IVB982910 ILF982910 IBJ982910 HRN982910 HHR982910 GXV982910 GNZ982910 GED982910 FUH982910 FKL982910 FAP982910 EQT982910 EGX982910 DXB982910 DNF982910 DDJ982910 CTN982910 CJR982910 BZV982910 BPZ982910 BGD982910 AWH982910 AML982910 ACP982910 ST982910 IX982910 WVJ917391:WVJ917396 WLN917391:WLN917396 WBR917391:WBR917396 VRV917391:VRV917396 VHZ917391:VHZ917396 UYD917391:UYD917396 UOH917391:UOH917396 UEL917391:UEL917396 TUP917391:TUP917396 TKT917391:TKT917396 TAX917391:TAX917396 SRB917391:SRB917396 SHF917391:SHF917396 RXJ917391:RXJ917396 RNN917391:RNN917396 RDR917391:RDR917396 QTV917391:QTV917396 QJZ917391:QJZ917396 QAD917391:QAD917396 PQH917391:PQH917396 PGL917391:PGL917396 OWP917391:OWP917396 OMT917391:OMT917396 OCX917391:OCX917396 NTB917391:NTB917396 NJF917391:NJF917396 MZJ917391:MZJ917396 MPN917391:MPN917396 MFR917391:MFR917396 LVV917391:LVV917396 LLZ917391:LLZ917396 LCD917391:LCD917396 KSH917391:KSH917396 KIL917391:KIL917396 JYP917391:JYP917396 JOT917391:JOT917396 JEX917391:JEX917396 IVB917391:IVB917396 ILF917391:ILF917396 IBJ917391:IBJ917396 HRN917391:HRN917396 HHR917391:HHR917396 GXV917391:GXV917396 GNZ917391:GNZ917396 GED917391:GED917396 FUH917391:FUH917396 FKL917391:FKL917396 FAP917391:FAP917396 EQT917391:EQT917396 EGX917391:EGX917396 DXB917391:DXB917396 DNF917391:DNF917396 DDJ917391:DDJ917396 CTN917391:CTN917396 CJR917391:CJR917396 BZV917391:BZV917396 BPZ917391:BPZ917396 BGD917391:BGD917396 AWH917391:AWH917396 AML917391:AML917396 ACP917391:ACP917396 ST917391:ST917396 IX917391:IX917396 WVJ917382 WLN917382 WBR917382 VRV917382 VHZ917382 UYD917382 UOH917382 UEL917382 TUP917382 TKT917382 TAX917382 SRB917382 SHF917382 RXJ917382 RNN917382 RDR917382 QTV917382 QJZ917382 QAD917382 PQH917382 PGL917382 OWP917382 OMT917382 OCX917382 NTB917382 NJF917382 MZJ917382 MPN917382 MFR917382 LVV917382 LLZ917382 LCD917382 KSH917382 KIL917382 JYP917382 JOT917382 JEX917382 IVB917382 ILF917382 IBJ917382 HRN917382 HHR917382 GXV917382 GNZ917382 GED917382 FUH917382 FKL917382 FAP917382 EQT917382 EGX917382 DXB917382 DNF917382 DDJ917382 CTN917382 CJR917382 BZV917382 BPZ917382 BGD917382 AWH917382 AML917382 ACP917382 ST917382 IX917382 WVJ917380 WLN917380 WBR917380 VRV917380 VHZ917380 UYD917380 UOH917380 UEL917380 TUP917380 TKT917380 TAX917380 SRB917380 SHF917380 RXJ917380 RNN917380 RDR917380 QTV917380 QJZ917380 QAD917380 PQH917380 PGL917380 OWP917380 OMT917380 OCX917380 NTB917380 NJF917380 MZJ917380 MPN917380 MFR917380 LVV917380 LLZ917380 LCD917380 KSH917380 KIL917380 JYP917380 JOT917380 JEX917380 IVB917380 ILF917380 IBJ917380 HRN917380 HHR917380 GXV917380 GNZ917380 GED917380 FUH917380 FKL917380 FAP917380 EQT917380 EGX917380 DXB917380 DNF917380 DDJ917380 CTN917380 CJR917380 BZV917380 BPZ917380 BGD917380 AWH917380 AML917380 ACP917380 ST917380 IX917380 WVJ917376 WLN917376 WBR917376 VRV917376 VHZ917376 UYD917376 UOH917376 UEL917376 TUP917376 TKT917376 TAX917376 SRB917376 SHF917376 RXJ917376 RNN917376 RDR917376 QTV917376 QJZ917376 QAD917376 PQH917376 PGL917376 OWP917376 OMT917376 OCX917376 NTB917376 NJF917376 MZJ917376 MPN917376 MFR917376 LVV917376 LLZ917376 LCD917376 KSH917376 KIL917376 JYP917376 JOT917376 JEX917376 IVB917376 ILF917376 IBJ917376 HRN917376 HHR917376 GXV917376 GNZ917376 GED917376 FUH917376 FKL917376 FAP917376 EQT917376 EGX917376 DXB917376 DNF917376 DDJ917376 CTN917376 CJR917376 BZV917376 BPZ917376 BGD917376 AWH917376 AML917376 ACP917376 ST917376 IX917376 WVJ917374 WLN917374 WBR917374 VRV917374 VHZ917374 UYD917374 UOH917374 UEL917374 TUP917374 TKT917374 TAX917374 SRB917374 SHF917374 RXJ917374 RNN917374 RDR917374 QTV917374 QJZ917374 QAD917374 PQH917374 PGL917374 OWP917374 OMT917374 OCX917374 NTB917374 NJF917374 MZJ917374 MPN917374 MFR917374 LVV917374 LLZ917374 LCD917374 KSH917374 KIL917374 JYP917374 JOT917374 JEX917374 IVB917374 ILF917374 IBJ917374 HRN917374 HHR917374 GXV917374 GNZ917374 GED917374 FUH917374 FKL917374 FAP917374 EQT917374 EGX917374 DXB917374 DNF917374 DDJ917374 CTN917374 CJR917374 BZV917374 BPZ917374 BGD917374 AWH917374 AML917374 ACP917374 ST917374 IX917374 WVJ851855:WVJ851860 WLN851855:WLN851860 WBR851855:WBR851860 VRV851855:VRV851860 VHZ851855:VHZ851860 UYD851855:UYD851860 UOH851855:UOH851860 UEL851855:UEL851860 TUP851855:TUP851860 TKT851855:TKT851860 TAX851855:TAX851860 SRB851855:SRB851860 SHF851855:SHF851860 RXJ851855:RXJ851860 RNN851855:RNN851860 RDR851855:RDR851860 QTV851855:QTV851860 QJZ851855:QJZ851860 QAD851855:QAD851860 PQH851855:PQH851860 PGL851855:PGL851860 OWP851855:OWP851860 OMT851855:OMT851860 OCX851855:OCX851860 NTB851855:NTB851860 NJF851855:NJF851860 MZJ851855:MZJ851860 MPN851855:MPN851860 MFR851855:MFR851860 LVV851855:LVV851860 LLZ851855:LLZ851860 LCD851855:LCD851860 KSH851855:KSH851860 KIL851855:KIL851860 JYP851855:JYP851860 JOT851855:JOT851860 JEX851855:JEX851860 IVB851855:IVB851860 ILF851855:ILF851860 IBJ851855:IBJ851860 HRN851855:HRN851860 HHR851855:HHR851860 GXV851855:GXV851860 GNZ851855:GNZ851860 GED851855:GED851860 FUH851855:FUH851860 FKL851855:FKL851860 FAP851855:FAP851860 EQT851855:EQT851860 EGX851855:EGX851860 DXB851855:DXB851860 DNF851855:DNF851860 DDJ851855:DDJ851860 CTN851855:CTN851860 CJR851855:CJR851860 BZV851855:BZV851860 BPZ851855:BPZ851860 BGD851855:BGD851860 AWH851855:AWH851860 AML851855:AML851860 ACP851855:ACP851860 ST851855:ST851860 IX851855:IX851860 WVJ851846 WLN851846 WBR851846 VRV851846 VHZ851846 UYD851846 UOH851846 UEL851846 TUP851846 TKT851846 TAX851846 SRB851846 SHF851846 RXJ851846 RNN851846 RDR851846 QTV851846 QJZ851846 QAD851846 PQH851846 PGL851846 OWP851846 OMT851846 OCX851846 NTB851846 NJF851846 MZJ851846 MPN851846 MFR851846 LVV851846 LLZ851846 LCD851846 KSH851846 KIL851846 JYP851846 JOT851846 JEX851846 IVB851846 ILF851846 IBJ851846 HRN851846 HHR851846 GXV851846 GNZ851846 GED851846 FUH851846 FKL851846 FAP851846 EQT851846 EGX851846 DXB851846 DNF851846 DDJ851846 CTN851846 CJR851846 BZV851846 BPZ851846 BGD851846 AWH851846 AML851846 ACP851846 ST851846 IX851846 WVJ851844 WLN851844 WBR851844 VRV851844 VHZ851844 UYD851844 UOH851844 UEL851844 TUP851844 TKT851844 TAX851844 SRB851844 SHF851844 RXJ851844 RNN851844 RDR851844 QTV851844 QJZ851844 QAD851844 PQH851844 PGL851844 OWP851844 OMT851844 OCX851844 NTB851844 NJF851844 MZJ851844 MPN851844 MFR851844 LVV851844 LLZ851844 LCD851844 KSH851844 KIL851844 JYP851844 JOT851844 JEX851844 IVB851844 ILF851844 IBJ851844 HRN851844 HHR851844 GXV851844 GNZ851844 GED851844 FUH851844 FKL851844 FAP851844 EQT851844 EGX851844 DXB851844 DNF851844 DDJ851844 CTN851844 CJR851844 BZV851844 BPZ851844 BGD851844 AWH851844 AML851844 ACP851844 ST851844 IX851844 WVJ851840 WLN851840 WBR851840 VRV851840 VHZ851840 UYD851840 UOH851840 UEL851840 TUP851840 TKT851840 TAX851840 SRB851840 SHF851840 RXJ851840 RNN851840 RDR851840 QTV851840 QJZ851840 QAD851840 PQH851840 PGL851840 OWP851840 OMT851840 OCX851840 NTB851840 NJF851840 MZJ851840 MPN851840 MFR851840 LVV851840 LLZ851840 LCD851840 KSH851840 KIL851840 JYP851840 JOT851840 JEX851840 IVB851840 ILF851840 IBJ851840 HRN851840 HHR851840 GXV851840 GNZ851840 GED851840 FUH851840 FKL851840 FAP851840 EQT851840 EGX851840 DXB851840 DNF851840 DDJ851840 CTN851840 CJR851840 BZV851840 BPZ851840 BGD851840 AWH851840 AML851840 ACP851840 ST851840 IX851840 WVJ851838 WLN851838 WBR851838 VRV851838 VHZ851838 UYD851838 UOH851838 UEL851838 TUP851838 TKT851838 TAX851838 SRB851838 SHF851838 RXJ851838 RNN851838 RDR851838 QTV851838 QJZ851838 QAD851838 PQH851838 PGL851838 OWP851838 OMT851838 OCX851838 NTB851838 NJF851838 MZJ851838 MPN851838 MFR851838 LVV851838 LLZ851838 LCD851838 KSH851838 KIL851838 JYP851838 JOT851838 JEX851838 IVB851838 ILF851838 IBJ851838 HRN851838 HHR851838 GXV851838 GNZ851838 GED851838 FUH851838 FKL851838 FAP851838 EQT851838 EGX851838 DXB851838 DNF851838 DDJ851838 CTN851838 CJR851838 BZV851838 BPZ851838 BGD851838 AWH851838 AML851838 ACP851838 ST851838 IX851838 WVJ786319:WVJ786324 WLN786319:WLN786324 WBR786319:WBR786324 VRV786319:VRV786324 VHZ786319:VHZ786324 UYD786319:UYD786324 UOH786319:UOH786324 UEL786319:UEL786324 TUP786319:TUP786324 TKT786319:TKT786324 TAX786319:TAX786324 SRB786319:SRB786324 SHF786319:SHF786324 RXJ786319:RXJ786324 RNN786319:RNN786324 RDR786319:RDR786324 QTV786319:QTV786324 QJZ786319:QJZ786324 QAD786319:QAD786324 PQH786319:PQH786324 PGL786319:PGL786324 OWP786319:OWP786324 OMT786319:OMT786324 OCX786319:OCX786324 NTB786319:NTB786324 NJF786319:NJF786324 MZJ786319:MZJ786324 MPN786319:MPN786324 MFR786319:MFR786324 LVV786319:LVV786324 LLZ786319:LLZ786324 LCD786319:LCD786324 KSH786319:KSH786324 KIL786319:KIL786324 JYP786319:JYP786324 JOT786319:JOT786324 JEX786319:JEX786324 IVB786319:IVB786324 ILF786319:ILF786324 IBJ786319:IBJ786324 HRN786319:HRN786324 HHR786319:HHR786324 GXV786319:GXV786324 GNZ786319:GNZ786324 GED786319:GED786324 FUH786319:FUH786324 FKL786319:FKL786324 FAP786319:FAP786324 EQT786319:EQT786324 EGX786319:EGX786324 DXB786319:DXB786324 DNF786319:DNF786324 DDJ786319:DDJ786324 CTN786319:CTN786324 CJR786319:CJR786324 BZV786319:BZV786324 BPZ786319:BPZ786324 BGD786319:BGD786324 AWH786319:AWH786324 AML786319:AML786324 ACP786319:ACP786324 ST786319:ST786324 IX786319:IX786324 WVJ786310 WLN786310 WBR786310 VRV786310 VHZ786310 UYD786310 UOH786310 UEL786310 TUP786310 TKT786310 TAX786310 SRB786310 SHF786310 RXJ786310 RNN786310 RDR786310 QTV786310 QJZ786310 QAD786310 PQH786310 PGL786310 OWP786310 OMT786310 OCX786310 NTB786310 NJF786310 MZJ786310 MPN786310 MFR786310 LVV786310 LLZ786310 LCD786310 KSH786310 KIL786310 JYP786310 JOT786310 JEX786310 IVB786310 ILF786310 IBJ786310 HRN786310 HHR786310 GXV786310 GNZ786310 GED786310 FUH786310 FKL786310 FAP786310 EQT786310 EGX786310 DXB786310 DNF786310 DDJ786310 CTN786310 CJR786310 BZV786310 BPZ786310 BGD786310 AWH786310 AML786310 ACP786310 ST786310 IX786310 WVJ786308 WLN786308 WBR786308 VRV786308 VHZ786308 UYD786308 UOH786308 UEL786308 TUP786308 TKT786308 TAX786308 SRB786308 SHF786308 RXJ786308 RNN786308 RDR786308 QTV786308 QJZ786308 QAD786308 PQH786308 PGL786308 OWP786308 OMT786308 OCX786308 NTB786308 NJF786308 MZJ786308 MPN786308 MFR786308 LVV786308 LLZ786308 LCD786308 KSH786308 KIL786308 JYP786308 JOT786308 JEX786308 IVB786308 ILF786308 IBJ786308 HRN786308 HHR786308 GXV786308 GNZ786308 GED786308 FUH786308 FKL786308 FAP786308 EQT786308 EGX786308 DXB786308 DNF786308 DDJ786308 CTN786308 CJR786308 BZV786308 BPZ786308 BGD786308 AWH786308 AML786308 ACP786308 ST786308 IX786308 WVJ786304 WLN786304 WBR786304 VRV786304 VHZ786304 UYD786304 UOH786304 UEL786304 TUP786304 TKT786304 TAX786304 SRB786304 SHF786304 RXJ786304 RNN786304 RDR786304 QTV786304 QJZ786304 QAD786304 PQH786304 PGL786304 OWP786304 OMT786304 OCX786304 NTB786304 NJF786304 MZJ786304 MPN786304 MFR786304 LVV786304 LLZ786304 LCD786304 KSH786304 KIL786304 JYP786304 JOT786304 JEX786304 IVB786304 ILF786304 IBJ786304 HRN786304 HHR786304 GXV786304 GNZ786304 GED786304 FUH786304 FKL786304 FAP786304 EQT786304 EGX786304 DXB786304 DNF786304 DDJ786304 CTN786304 CJR786304 BZV786304 BPZ786304 BGD786304 AWH786304 AML786304 ACP786304 ST786304 IX786304 WVJ786302 WLN786302 WBR786302 VRV786302 VHZ786302 UYD786302 UOH786302 UEL786302 TUP786302 TKT786302 TAX786302 SRB786302 SHF786302 RXJ786302 RNN786302 RDR786302 QTV786302 QJZ786302 QAD786302 PQH786302 PGL786302 OWP786302 OMT786302 OCX786302 NTB786302 NJF786302 MZJ786302 MPN786302 MFR786302 LVV786302 LLZ786302 LCD786302 KSH786302 KIL786302 JYP786302 JOT786302 JEX786302 IVB786302 ILF786302 IBJ786302 HRN786302 HHR786302 GXV786302 GNZ786302 GED786302 FUH786302 FKL786302 FAP786302 EQT786302 EGX786302 DXB786302 DNF786302 DDJ786302 CTN786302 CJR786302 BZV786302 BPZ786302 BGD786302 AWH786302 AML786302 ACP786302 ST786302 IX786302 WVJ720783:WVJ720788 WLN720783:WLN720788 WBR720783:WBR720788 VRV720783:VRV720788 VHZ720783:VHZ720788 UYD720783:UYD720788 UOH720783:UOH720788 UEL720783:UEL720788 TUP720783:TUP720788 TKT720783:TKT720788 TAX720783:TAX720788 SRB720783:SRB720788 SHF720783:SHF720788 RXJ720783:RXJ720788 RNN720783:RNN720788 RDR720783:RDR720788 QTV720783:QTV720788 QJZ720783:QJZ720788 QAD720783:QAD720788 PQH720783:PQH720788 PGL720783:PGL720788 OWP720783:OWP720788 OMT720783:OMT720788 OCX720783:OCX720788 NTB720783:NTB720788 NJF720783:NJF720788 MZJ720783:MZJ720788 MPN720783:MPN720788 MFR720783:MFR720788 LVV720783:LVV720788 LLZ720783:LLZ720788 LCD720783:LCD720788 KSH720783:KSH720788 KIL720783:KIL720788 JYP720783:JYP720788 JOT720783:JOT720788 JEX720783:JEX720788 IVB720783:IVB720788 ILF720783:ILF720788 IBJ720783:IBJ720788 HRN720783:HRN720788 HHR720783:HHR720788 GXV720783:GXV720788 GNZ720783:GNZ720788 GED720783:GED720788 FUH720783:FUH720788 FKL720783:FKL720788 FAP720783:FAP720788 EQT720783:EQT720788 EGX720783:EGX720788 DXB720783:DXB720788 DNF720783:DNF720788 DDJ720783:DDJ720788 CTN720783:CTN720788 CJR720783:CJR720788 BZV720783:BZV720788 BPZ720783:BPZ720788 BGD720783:BGD720788 AWH720783:AWH720788 AML720783:AML720788 ACP720783:ACP720788 ST720783:ST720788 IX720783:IX720788 WVJ720774 WLN720774 WBR720774 VRV720774 VHZ720774 UYD720774 UOH720774 UEL720774 TUP720774 TKT720774 TAX720774 SRB720774 SHF720774 RXJ720774 RNN720774 RDR720774 QTV720774 QJZ720774 QAD720774 PQH720774 PGL720774 OWP720774 OMT720774 OCX720774 NTB720774 NJF720774 MZJ720774 MPN720774 MFR720774 LVV720774 LLZ720774 LCD720774 KSH720774 KIL720774 JYP720774 JOT720774 JEX720774 IVB720774 ILF720774 IBJ720774 HRN720774 HHR720774 GXV720774 GNZ720774 GED720774 FUH720774 FKL720774 FAP720774 EQT720774 EGX720774 DXB720774 DNF720774 DDJ720774 CTN720774 CJR720774 BZV720774 BPZ720774 BGD720774 AWH720774 AML720774 ACP720774 ST720774 IX720774 WVJ720772 WLN720772 WBR720772 VRV720772 VHZ720772 UYD720772 UOH720772 UEL720772 TUP720772 TKT720772 TAX720772 SRB720772 SHF720772 RXJ720772 RNN720772 RDR720772 QTV720772 QJZ720772 QAD720772 PQH720772 PGL720772 OWP720772 OMT720772 OCX720772 NTB720772 NJF720772 MZJ720772 MPN720772 MFR720772 LVV720772 LLZ720772 LCD720772 KSH720772 KIL720772 JYP720772 JOT720772 JEX720772 IVB720772 ILF720772 IBJ720772 HRN720772 HHR720772 GXV720772 GNZ720772 GED720772 FUH720772 FKL720772 FAP720772 EQT720772 EGX720772 DXB720772 DNF720772 DDJ720772 CTN720772 CJR720772 BZV720772 BPZ720772 BGD720772 AWH720772 AML720772 ACP720772 ST720772 IX720772 WVJ720768 WLN720768 WBR720768 VRV720768 VHZ720768 UYD720768 UOH720768 UEL720768 TUP720768 TKT720768 TAX720768 SRB720768 SHF720768 RXJ720768 RNN720768 RDR720768 QTV720768 QJZ720768 QAD720768 PQH720768 PGL720768 OWP720768 OMT720768 OCX720768 NTB720768 NJF720768 MZJ720768 MPN720768 MFR720768 LVV720768 LLZ720768 LCD720768 KSH720768 KIL720768 JYP720768 JOT720768 JEX720768 IVB720768 ILF720768 IBJ720768 HRN720768 HHR720768 GXV720768 GNZ720768 GED720768 FUH720768 FKL720768 FAP720768 EQT720768 EGX720768 DXB720768 DNF720768 DDJ720768 CTN720768 CJR720768 BZV720768 BPZ720768 BGD720768 AWH720768 AML720768 ACP720768 ST720768 IX720768 WVJ720766 WLN720766 WBR720766 VRV720766 VHZ720766 UYD720766 UOH720766 UEL720766 TUP720766 TKT720766 TAX720766 SRB720766 SHF720766 RXJ720766 RNN720766 RDR720766 QTV720766 QJZ720766 QAD720766 PQH720766 PGL720766 OWP720766 OMT720766 OCX720766 NTB720766 NJF720766 MZJ720766 MPN720766 MFR720766 LVV720766 LLZ720766 LCD720766 KSH720766 KIL720766 JYP720766 JOT720766 JEX720766 IVB720766 ILF720766 IBJ720766 HRN720766 HHR720766 GXV720766 GNZ720766 GED720766 FUH720766 FKL720766 FAP720766 EQT720766 EGX720766 DXB720766 DNF720766 DDJ720766 CTN720766 CJR720766 BZV720766 BPZ720766 BGD720766 AWH720766 AML720766 ACP720766 ST720766 IX720766 WVJ655247:WVJ655252 WLN655247:WLN655252 WBR655247:WBR655252 VRV655247:VRV655252 VHZ655247:VHZ655252 UYD655247:UYD655252 UOH655247:UOH655252 UEL655247:UEL655252 TUP655247:TUP655252 TKT655247:TKT655252 TAX655247:TAX655252 SRB655247:SRB655252 SHF655247:SHF655252 RXJ655247:RXJ655252 RNN655247:RNN655252 RDR655247:RDR655252 QTV655247:QTV655252 QJZ655247:QJZ655252 QAD655247:QAD655252 PQH655247:PQH655252 PGL655247:PGL655252 OWP655247:OWP655252 OMT655247:OMT655252 OCX655247:OCX655252 NTB655247:NTB655252 NJF655247:NJF655252 MZJ655247:MZJ655252 MPN655247:MPN655252 MFR655247:MFR655252 LVV655247:LVV655252 LLZ655247:LLZ655252 LCD655247:LCD655252 KSH655247:KSH655252 KIL655247:KIL655252 JYP655247:JYP655252 JOT655247:JOT655252 JEX655247:JEX655252 IVB655247:IVB655252 ILF655247:ILF655252 IBJ655247:IBJ655252 HRN655247:HRN655252 HHR655247:HHR655252 GXV655247:GXV655252 GNZ655247:GNZ655252 GED655247:GED655252 FUH655247:FUH655252 FKL655247:FKL655252 FAP655247:FAP655252 EQT655247:EQT655252 EGX655247:EGX655252 DXB655247:DXB655252 DNF655247:DNF655252 DDJ655247:DDJ655252 CTN655247:CTN655252 CJR655247:CJR655252 BZV655247:BZV655252 BPZ655247:BPZ655252 BGD655247:BGD655252 AWH655247:AWH655252 AML655247:AML655252 ACP655247:ACP655252 ST655247:ST655252 IX655247:IX655252 WVJ655238 WLN655238 WBR655238 VRV655238 VHZ655238 UYD655238 UOH655238 UEL655238 TUP655238 TKT655238 TAX655238 SRB655238 SHF655238 RXJ655238 RNN655238 RDR655238 QTV655238 QJZ655238 QAD655238 PQH655238 PGL655238 OWP655238 OMT655238 OCX655238 NTB655238 NJF655238 MZJ655238 MPN655238 MFR655238 LVV655238 LLZ655238 LCD655238 KSH655238 KIL655238 JYP655238 JOT655238 JEX655238 IVB655238 ILF655238 IBJ655238 HRN655238 HHR655238 GXV655238 GNZ655238 GED655238 FUH655238 FKL655238 FAP655238 EQT655238 EGX655238 DXB655238 DNF655238 DDJ655238 CTN655238 CJR655238 BZV655238 BPZ655238 BGD655238 AWH655238 AML655238 ACP655238 ST655238 IX655238 WVJ655236 WLN655236 WBR655236 VRV655236 VHZ655236 UYD655236 UOH655236 UEL655236 TUP655236 TKT655236 TAX655236 SRB655236 SHF655236 RXJ655236 RNN655236 RDR655236 QTV655236 QJZ655236 QAD655236 PQH655236 PGL655236 OWP655236 OMT655236 OCX655236 NTB655236 NJF655236 MZJ655236 MPN655236 MFR655236 LVV655236 LLZ655236 LCD655236 KSH655236 KIL655236 JYP655236 JOT655236 JEX655236 IVB655236 ILF655236 IBJ655236 HRN655236 HHR655236 GXV655236 GNZ655236 GED655236 FUH655236 FKL655236 FAP655236 EQT655236 EGX655236 DXB655236 DNF655236 DDJ655236 CTN655236 CJR655236 BZV655236 BPZ655236 BGD655236 AWH655236 AML655236 ACP655236 ST655236 IX655236 WVJ655232 WLN655232 WBR655232 VRV655232 VHZ655232 UYD655232 UOH655232 UEL655232 TUP655232 TKT655232 TAX655232 SRB655232 SHF655232 RXJ655232 RNN655232 RDR655232 QTV655232 QJZ655232 QAD655232 PQH655232 PGL655232 OWP655232 OMT655232 OCX655232 NTB655232 NJF655232 MZJ655232 MPN655232 MFR655232 LVV655232 LLZ655232 LCD655232 KSH655232 KIL655232 JYP655232 JOT655232 JEX655232 IVB655232 ILF655232 IBJ655232 HRN655232 HHR655232 GXV655232 GNZ655232 GED655232 FUH655232 FKL655232 FAP655232 EQT655232 EGX655232 DXB655232 DNF655232 DDJ655232 CTN655232 CJR655232 BZV655232 BPZ655232 BGD655232 AWH655232 AML655232 ACP655232 ST655232 IX655232 WVJ655230 WLN655230 WBR655230 VRV655230 VHZ655230 UYD655230 UOH655230 UEL655230 TUP655230 TKT655230 TAX655230 SRB655230 SHF655230 RXJ655230 RNN655230 RDR655230 QTV655230 QJZ655230 QAD655230 PQH655230 PGL655230 OWP655230 OMT655230 OCX655230 NTB655230 NJF655230 MZJ655230 MPN655230 MFR655230 LVV655230 LLZ655230 LCD655230 KSH655230 KIL655230 JYP655230 JOT655230 JEX655230 IVB655230 ILF655230 IBJ655230 HRN655230 HHR655230 GXV655230 GNZ655230 GED655230 FUH655230 FKL655230 FAP655230 EQT655230 EGX655230 DXB655230 DNF655230 DDJ655230 CTN655230 CJR655230 BZV655230 BPZ655230 BGD655230 AWH655230 AML655230 ACP655230 ST655230 IX655230 WVJ589711:WVJ589716 WLN589711:WLN589716 WBR589711:WBR589716 VRV589711:VRV589716 VHZ589711:VHZ589716 UYD589711:UYD589716 UOH589711:UOH589716 UEL589711:UEL589716 TUP589711:TUP589716 TKT589711:TKT589716 TAX589711:TAX589716 SRB589711:SRB589716 SHF589711:SHF589716 RXJ589711:RXJ589716 RNN589711:RNN589716 RDR589711:RDR589716 QTV589711:QTV589716 QJZ589711:QJZ589716 QAD589711:QAD589716 PQH589711:PQH589716 PGL589711:PGL589716 OWP589711:OWP589716 OMT589711:OMT589716 OCX589711:OCX589716 NTB589711:NTB589716 NJF589711:NJF589716 MZJ589711:MZJ589716 MPN589711:MPN589716 MFR589711:MFR589716 LVV589711:LVV589716 LLZ589711:LLZ589716 LCD589711:LCD589716 KSH589711:KSH589716 KIL589711:KIL589716 JYP589711:JYP589716 JOT589711:JOT589716 JEX589711:JEX589716 IVB589711:IVB589716 ILF589711:ILF589716 IBJ589711:IBJ589716 HRN589711:HRN589716 HHR589711:HHR589716 GXV589711:GXV589716 GNZ589711:GNZ589716 GED589711:GED589716 FUH589711:FUH589716 FKL589711:FKL589716 FAP589711:FAP589716 EQT589711:EQT589716 EGX589711:EGX589716 DXB589711:DXB589716 DNF589711:DNF589716 DDJ589711:DDJ589716 CTN589711:CTN589716 CJR589711:CJR589716 BZV589711:BZV589716 BPZ589711:BPZ589716 BGD589711:BGD589716 AWH589711:AWH589716 AML589711:AML589716 ACP589711:ACP589716 ST589711:ST589716 IX589711:IX589716 WVJ589702 WLN589702 WBR589702 VRV589702 VHZ589702 UYD589702 UOH589702 UEL589702 TUP589702 TKT589702 TAX589702 SRB589702 SHF589702 RXJ589702 RNN589702 RDR589702 QTV589702 QJZ589702 QAD589702 PQH589702 PGL589702 OWP589702 OMT589702 OCX589702 NTB589702 NJF589702 MZJ589702 MPN589702 MFR589702 LVV589702 LLZ589702 LCD589702 KSH589702 KIL589702 JYP589702 JOT589702 JEX589702 IVB589702 ILF589702 IBJ589702 HRN589702 HHR589702 GXV589702 GNZ589702 GED589702 FUH589702 FKL589702 FAP589702 EQT589702 EGX589702 DXB589702 DNF589702 DDJ589702 CTN589702 CJR589702 BZV589702 BPZ589702 BGD589702 AWH589702 AML589702 ACP589702 ST589702 IX589702 WVJ589700 WLN589700 WBR589700 VRV589700 VHZ589700 UYD589700 UOH589700 UEL589700 TUP589700 TKT589700 TAX589700 SRB589700 SHF589700 RXJ589700 RNN589700 RDR589700 QTV589700 QJZ589700 QAD589700 PQH589700 PGL589700 OWP589700 OMT589700 OCX589700 NTB589700 NJF589700 MZJ589700 MPN589700 MFR589700 LVV589700 LLZ589700 LCD589700 KSH589700 KIL589700 JYP589700 JOT589700 JEX589700 IVB589700 ILF589700 IBJ589700 HRN589700 HHR589700 GXV589700 GNZ589700 GED589700 FUH589700 FKL589700 FAP589700 EQT589700 EGX589700 DXB589700 DNF589700 DDJ589700 CTN589700 CJR589700 BZV589700 BPZ589700 BGD589700 AWH589700 AML589700 ACP589700 ST589700 IX589700 WVJ589696 WLN589696 WBR589696 VRV589696 VHZ589696 UYD589696 UOH589696 UEL589696 TUP589696 TKT589696 TAX589696 SRB589696 SHF589696 RXJ589696 RNN589696 RDR589696 QTV589696 QJZ589696 QAD589696 PQH589696 PGL589696 OWP589696 OMT589696 OCX589696 NTB589696 NJF589696 MZJ589696 MPN589696 MFR589696 LVV589696 LLZ589696 LCD589696 KSH589696 KIL589696 JYP589696 JOT589696 JEX589696 IVB589696 ILF589696 IBJ589696 HRN589696 HHR589696 GXV589696 GNZ589696 GED589696 FUH589696 FKL589696 FAP589696 EQT589696 EGX589696 DXB589696 DNF589696 DDJ589696 CTN589696 CJR589696 BZV589696 BPZ589696 BGD589696 AWH589696 AML589696 ACP589696 ST589696 IX589696 WVJ589694 WLN589694 WBR589694 VRV589694 VHZ589694 UYD589694 UOH589694 UEL589694 TUP589694 TKT589694 TAX589694 SRB589694 SHF589694 RXJ589694 RNN589694 RDR589694 QTV589694 QJZ589694 QAD589694 PQH589694 PGL589694 OWP589694 OMT589694 OCX589694 NTB589694 NJF589694 MZJ589694 MPN589694 MFR589694 LVV589694 LLZ589694 LCD589694 KSH589694 KIL589694 JYP589694 JOT589694 JEX589694 IVB589694 ILF589694 IBJ589694 HRN589694 HHR589694 GXV589694 GNZ589694 GED589694 FUH589694 FKL589694 FAP589694 EQT589694 EGX589694 DXB589694 DNF589694 DDJ589694 CTN589694 CJR589694 BZV589694 BPZ589694 BGD589694 AWH589694 AML589694 ACP589694 ST589694 IX589694 WVJ524175:WVJ524180 WLN524175:WLN524180 WBR524175:WBR524180 VRV524175:VRV524180 VHZ524175:VHZ524180 UYD524175:UYD524180 UOH524175:UOH524180 UEL524175:UEL524180 TUP524175:TUP524180 TKT524175:TKT524180 TAX524175:TAX524180 SRB524175:SRB524180 SHF524175:SHF524180 RXJ524175:RXJ524180 RNN524175:RNN524180 RDR524175:RDR524180 QTV524175:QTV524180 QJZ524175:QJZ524180 QAD524175:QAD524180 PQH524175:PQH524180 PGL524175:PGL524180 OWP524175:OWP524180 OMT524175:OMT524180 OCX524175:OCX524180 NTB524175:NTB524180 NJF524175:NJF524180 MZJ524175:MZJ524180 MPN524175:MPN524180 MFR524175:MFR524180 LVV524175:LVV524180 LLZ524175:LLZ524180 LCD524175:LCD524180 KSH524175:KSH524180 KIL524175:KIL524180 JYP524175:JYP524180 JOT524175:JOT524180 JEX524175:JEX524180 IVB524175:IVB524180 ILF524175:ILF524180 IBJ524175:IBJ524180 HRN524175:HRN524180 HHR524175:HHR524180 GXV524175:GXV524180 GNZ524175:GNZ524180 GED524175:GED524180 FUH524175:FUH524180 FKL524175:FKL524180 FAP524175:FAP524180 EQT524175:EQT524180 EGX524175:EGX524180 DXB524175:DXB524180 DNF524175:DNF524180 DDJ524175:DDJ524180 CTN524175:CTN524180 CJR524175:CJR524180 BZV524175:BZV524180 BPZ524175:BPZ524180 BGD524175:BGD524180 AWH524175:AWH524180 AML524175:AML524180 ACP524175:ACP524180 ST524175:ST524180 IX524175:IX524180 WVJ524166 WLN524166 WBR524166 VRV524166 VHZ524166 UYD524166 UOH524166 UEL524166 TUP524166 TKT524166 TAX524166 SRB524166 SHF524166 RXJ524166 RNN524166 RDR524166 QTV524166 QJZ524166 QAD524166 PQH524166 PGL524166 OWP524166 OMT524166 OCX524166 NTB524166 NJF524166 MZJ524166 MPN524166 MFR524166 LVV524166 LLZ524166 LCD524166 KSH524166 KIL524166 JYP524166 JOT524166 JEX524166 IVB524166 ILF524166 IBJ524166 HRN524166 HHR524166 GXV524166 GNZ524166 GED524166 FUH524166 FKL524166 FAP524166 EQT524166 EGX524166 DXB524166 DNF524166 DDJ524166 CTN524166 CJR524166 BZV524166 BPZ524166 BGD524166 AWH524166 AML524166 ACP524166 ST524166 IX524166 WVJ524164 WLN524164 WBR524164 VRV524164 VHZ524164 UYD524164 UOH524164 UEL524164 TUP524164 TKT524164 TAX524164 SRB524164 SHF524164 RXJ524164 RNN524164 RDR524164 QTV524164 QJZ524164 QAD524164 PQH524164 PGL524164 OWP524164 OMT524164 OCX524164 NTB524164 NJF524164 MZJ524164 MPN524164 MFR524164 LVV524164 LLZ524164 LCD524164 KSH524164 KIL524164 JYP524164 JOT524164 JEX524164 IVB524164 ILF524164 IBJ524164 HRN524164 HHR524164 GXV524164 GNZ524164 GED524164 FUH524164 FKL524164 FAP524164 EQT524164 EGX524164 DXB524164 DNF524164 DDJ524164 CTN524164 CJR524164 BZV524164 BPZ524164 BGD524164 AWH524164 AML524164 ACP524164 ST524164 IX524164 WVJ524160 WLN524160 WBR524160 VRV524160 VHZ524160 UYD524160 UOH524160 UEL524160 TUP524160 TKT524160 TAX524160 SRB524160 SHF524160 RXJ524160 RNN524160 RDR524160 QTV524160 QJZ524160 QAD524160 PQH524160 PGL524160 OWP524160 OMT524160 OCX524160 NTB524160 NJF524160 MZJ524160 MPN524160 MFR524160 LVV524160 LLZ524160 LCD524160 KSH524160 KIL524160 JYP524160 JOT524160 JEX524160 IVB524160 ILF524160 IBJ524160 HRN524160 HHR524160 GXV524160 GNZ524160 GED524160 FUH524160 FKL524160 FAP524160 EQT524160 EGX524160 DXB524160 DNF524160 DDJ524160 CTN524160 CJR524160 BZV524160 BPZ524160 BGD524160 AWH524160 AML524160 ACP524160 ST524160 IX524160 WVJ524158 WLN524158 WBR524158 VRV524158 VHZ524158 UYD524158 UOH524158 UEL524158 TUP524158 TKT524158 TAX524158 SRB524158 SHF524158 RXJ524158 RNN524158 RDR524158 QTV524158 QJZ524158 QAD524158 PQH524158 PGL524158 OWP524158 OMT524158 OCX524158 NTB524158 NJF524158 MZJ524158 MPN524158 MFR524158 LVV524158 LLZ524158 LCD524158 KSH524158 KIL524158 JYP524158 JOT524158 JEX524158 IVB524158 ILF524158 IBJ524158 HRN524158 HHR524158 GXV524158 GNZ524158 GED524158 FUH524158 FKL524158 FAP524158 EQT524158 EGX524158 DXB524158 DNF524158 DDJ524158 CTN524158 CJR524158 BZV524158 BPZ524158 BGD524158 AWH524158 AML524158 ACP524158 ST524158 IX524158 WVJ458639:WVJ458644 WLN458639:WLN458644 WBR458639:WBR458644 VRV458639:VRV458644 VHZ458639:VHZ458644 UYD458639:UYD458644 UOH458639:UOH458644 UEL458639:UEL458644 TUP458639:TUP458644 TKT458639:TKT458644 TAX458639:TAX458644 SRB458639:SRB458644 SHF458639:SHF458644 RXJ458639:RXJ458644 RNN458639:RNN458644 RDR458639:RDR458644 QTV458639:QTV458644 QJZ458639:QJZ458644 QAD458639:QAD458644 PQH458639:PQH458644 PGL458639:PGL458644 OWP458639:OWP458644 OMT458639:OMT458644 OCX458639:OCX458644 NTB458639:NTB458644 NJF458639:NJF458644 MZJ458639:MZJ458644 MPN458639:MPN458644 MFR458639:MFR458644 LVV458639:LVV458644 LLZ458639:LLZ458644 LCD458639:LCD458644 KSH458639:KSH458644 KIL458639:KIL458644 JYP458639:JYP458644 JOT458639:JOT458644 JEX458639:JEX458644 IVB458639:IVB458644 ILF458639:ILF458644 IBJ458639:IBJ458644 HRN458639:HRN458644 HHR458639:HHR458644 GXV458639:GXV458644 GNZ458639:GNZ458644 GED458639:GED458644 FUH458639:FUH458644 FKL458639:FKL458644 FAP458639:FAP458644 EQT458639:EQT458644 EGX458639:EGX458644 DXB458639:DXB458644 DNF458639:DNF458644 DDJ458639:DDJ458644 CTN458639:CTN458644 CJR458639:CJR458644 BZV458639:BZV458644 BPZ458639:BPZ458644 BGD458639:BGD458644 AWH458639:AWH458644 AML458639:AML458644 ACP458639:ACP458644 ST458639:ST458644 IX458639:IX458644 WVJ458630 WLN458630 WBR458630 VRV458630 VHZ458630 UYD458630 UOH458630 UEL458630 TUP458630 TKT458630 TAX458630 SRB458630 SHF458630 RXJ458630 RNN458630 RDR458630 QTV458630 QJZ458630 QAD458630 PQH458630 PGL458630 OWP458630 OMT458630 OCX458630 NTB458630 NJF458630 MZJ458630 MPN458630 MFR458630 LVV458630 LLZ458630 LCD458630 KSH458630 KIL458630 JYP458630 JOT458630 JEX458630 IVB458630 ILF458630 IBJ458630 HRN458630 HHR458630 GXV458630 GNZ458630 GED458630 FUH458630 FKL458630 FAP458630 EQT458630 EGX458630 DXB458630 DNF458630 DDJ458630 CTN458630 CJR458630 BZV458630 BPZ458630 BGD458630 AWH458630 AML458630 ACP458630 ST458630 IX458630 WVJ458628 WLN458628 WBR458628 VRV458628 VHZ458628 UYD458628 UOH458628 UEL458628 TUP458628 TKT458628 TAX458628 SRB458628 SHF458628 RXJ458628 RNN458628 RDR458628 QTV458628 QJZ458628 QAD458628 PQH458628 PGL458628 OWP458628 OMT458628 OCX458628 NTB458628 NJF458628 MZJ458628 MPN458628 MFR458628 LVV458628 LLZ458628 LCD458628 KSH458628 KIL458628 JYP458628 JOT458628 JEX458628 IVB458628 ILF458628 IBJ458628 HRN458628 HHR458628 GXV458628 GNZ458628 GED458628 FUH458628 FKL458628 FAP458628 EQT458628 EGX458628 DXB458628 DNF458628 DDJ458628 CTN458628 CJR458628 BZV458628 BPZ458628 BGD458628 AWH458628 AML458628 ACP458628 ST458628 IX458628 WVJ458624 WLN458624 WBR458624 VRV458624 VHZ458624 UYD458624 UOH458624 UEL458624 TUP458624 TKT458624 TAX458624 SRB458624 SHF458624 RXJ458624 RNN458624 RDR458624 QTV458624 QJZ458624 QAD458624 PQH458624 PGL458624 OWP458624 OMT458624 OCX458624 NTB458624 NJF458624 MZJ458624 MPN458624 MFR458624 LVV458624 LLZ458624 LCD458624 KSH458624 KIL458624 JYP458624 JOT458624 JEX458624 IVB458624 ILF458624 IBJ458624 HRN458624 HHR458624 GXV458624 GNZ458624 GED458624 FUH458624 FKL458624 FAP458624 EQT458624 EGX458624 DXB458624 DNF458624 DDJ458624 CTN458624 CJR458624 BZV458624 BPZ458624 BGD458624 AWH458624 AML458624 ACP458624 ST458624 IX458624 WVJ458622 WLN458622 WBR458622 VRV458622 VHZ458622 UYD458622 UOH458622 UEL458622 TUP458622 TKT458622 TAX458622 SRB458622 SHF458622 RXJ458622 RNN458622 RDR458622 QTV458622 QJZ458622 QAD458622 PQH458622 PGL458622 OWP458622 OMT458622 OCX458622 NTB458622 NJF458622 MZJ458622 MPN458622 MFR458622 LVV458622 LLZ458622 LCD458622 KSH458622 KIL458622 JYP458622 JOT458622 JEX458622 IVB458622 ILF458622 IBJ458622 HRN458622 HHR458622 GXV458622 GNZ458622 GED458622 FUH458622 FKL458622 FAP458622 EQT458622 EGX458622 DXB458622 DNF458622 DDJ458622 CTN458622 CJR458622 BZV458622 BPZ458622 BGD458622 AWH458622 AML458622 ACP458622 ST458622 IX458622 WVJ393103:WVJ393108 WLN393103:WLN393108 WBR393103:WBR393108 VRV393103:VRV393108 VHZ393103:VHZ393108 UYD393103:UYD393108 UOH393103:UOH393108 UEL393103:UEL393108 TUP393103:TUP393108 TKT393103:TKT393108 TAX393103:TAX393108 SRB393103:SRB393108 SHF393103:SHF393108 RXJ393103:RXJ393108 RNN393103:RNN393108 RDR393103:RDR393108 QTV393103:QTV393108 QJZ393103:QJZ393108 QAD393103:QAD393108 PQH393103:PQH393108 PGL393103:PGL393108 OWP393103:OWP393108 OMT393103:OMT393108 OCX393103:OCX393108 NTB393103:NTB393108 NJF393103:NJF393108 MZJ393103:MZJ393108 MPN393103:MPN393108 MFR393103:MFR393108 LVV393103:LVV393108 LLZ393103:LLZ393108 LCD393103:LCD393108 KSH393103:KSH393108 KIL393103:KIL393108 JYP393103:JYP393108 JOT393103:JOT393108 JEX393103:JEX393108 IVB393103:IVB393108 ILF393103:ILF393108 IBJ393103:IBJ393108 HRN393103:HRN393108 HHR393103:HHR393108 GXV393103:GXV393108 GNZ393103:GNZ393108 GED393103:GED393108 FUH393103:FUH393108 FKL393103:FKL393108 FAP393103:FAP393108 EQT393103:EQT393108 EGX393103:EGX393108 DXB393103:DXB393108 DNF393103:DNF393108 DDJ393103:DDJ393108 CTN393103:CTN393108 CJR393103:CJR393108 BZV393103:BZV393108 BPZ393103:BPZ393108 BGD393103:BGD393108 AWH393103:AWH393108 AML393103:AML393108 ACP393103:ACP393108 ST393103:ST393108 IX393103:IX393108 WVJ393094 WLN393094 WBR393094 VRV393094 VHZ393094 UYD393094 UOH393094 UEL393094 TUP393094 TKT393094 TAX393094 SRB393094 SHF393094 RXJ393094 RNN393094 RDR393094 QTV393094 QJZ393094 QAD393094 PQH393094 PGL393094 OWP393094 OMT393094 OCX393094 NTB393094 NJF393094 MZJ393094 MPN393094 MFR393094 LVV393094 LLZ393094 LCD393094 KSH393094 KIL393094 JYP393094 JOT393094 JEX393094 IVB393094 ILF393094 IBJ393094 HRN393094 HHR393094 GXV393094 GNZ393094 GED393094 FUH393094 FKL393094 FAP393094 EQT393094 EGX393094 DXB393094 DNF393094 DDJ393094 CTN393094 CJR393094 BZV393094 BPZ393094 BGD393094 AWH393094 AML393094 ACP393094 ST393094 IX393094 WVJ393092 WLN393092 WBR393092 VRV393092 VHZ393092 UYD393092 UOH393092 UEL393092 TUP393092 TKT393092 TAX393092 SRB393092 SHF393092 RXJ393092 RNN393092 RDR393092 QTV393092 QJZ393092 QAD393092 PQH393092 PGL393092 OWP393092 OMT393092 OCX393092 NTB393092 NJF393092 MZJ393092 MPN393092 MFR393092 LVV393092 LLZ393092 LCD393092 KSH393092 KIL393092 JYP393092 JOT393092 JEX393092 IVB393092 ILF393092 IBJ393092 HRN393092 HHR393092 GXV393092 GNZ393092 GED393092 FUH393092 FKL393092 FAP393092 EQT393092 EGX393092 DXB393092 DNF393092 DDJ393092 CTN393092 CJR393092 BZV393092 BPZ393092 BGD393092 AWH393092 AML393092 ACP393092 ST393092 IX393092 WVJ393088 WLN393088 WBR393088 VRV393088 VHZ393088 UYD393088 UOH393088 UEL393088 TUP393088 TKT393088 TAX393088 SRB393088 SHF393088 RXJ393088 RNN393088 RDR393088 QTV393088 QJZ393088 QAD393088 PQH393088 PGL393088 OWP393088 OMT393088 OCX393088 NTB393088 NJF393088 MZJ393088 MPN393088 MFR393088 LVV393088 LLZ393088 LCD393088 KSH393088 KIL393088 JYP393088 JOT393088 JEX393088 IVB393088 ILF393088 IBJ393088 HRN393088 HHR393088 GXV393088 GNZ393088 GED393088 FUH393088 FKL393088 FAP393088 EQT393088 EGX393088 DXB393088 DNF393088 DDJ393088 CTN393088 CJR393088 BZV393088 BPZ393088 BGD393088 AWH393088 AML393088 ACP393088 ST393088 IX393088 WVJ393086 WLN393086 WBR393086 VRV393086 VHZ393086 UYD393086 UOH393086 UEL393086 TUP393086 TKT393086 TAX393086 SRB393086 SHF393086 RXJ393086 RNN393086 RDR393086 QTV393086 QJZ393086 QAD393086 PQH393086 PGL393086 OWP393086 OMT393086 OCX393086 NTB393086 NJF393086 MZJ393086 MPN393086 MFR393086 LVV393086 LLZ393086 LCD393086 KSH393086 KIL393086 JYP393086 JOT393086 JEX393086 IVB393086 ILF393086 IBJ393086 HRN393086 HHR393086 GXV393086 GNZ393086 GED393086 FUH393086 FKL393086 FAP393086 EQT393086 EGX393086 DXB393086 DNF393086 DDJ393086 CTN393086 CJR393086 BZV393086 BPZ393086 BGD393086 AWH393086 AML393086 ACP393086 ST393086 IX393086 WVJ327567:WVJ327572 WLN327567:WLN327572 WBR327567:WBR327572 VRV327567:VRV327572 VHZ327567:VHZ327572 UYD327567:UYD327572 UOH327567:UOH327572 UEL327567:UEL327572 TUP327567:TUP327572 TKT327567:TKT327572 TAX327567:TAX327572 SRB327567:SRB327572 SHF327567:SHF327572 RXJ327567:RXJ327572 RNN327567:RNN327572 RDR327567:RDR327572 QTV327567:QTV327572 QJZ327567:QJZ327572 QAD327567:QAD327572 PQH327567:PQH327572 PGL327567:PGL327572 OWP327567:OWP327572 OMT327567:OMT327572 OCX327567:OCX327572 NTB327567:NTB327572 NJF327567:NJF327572 MZJ327567:MZJ327572 MPN327567:MPN327572 MFR327567:MFR327572 LVV327567:LVV327572 LLZ327567:LLZ327572 LCD327567:LCD327572 KSH327567:KSH327572 KIL327567:KIL327572 JYP327567:JYP327572 JOT327567:JOT327572 JEX327567:JEX327572 IVB327567:IVB327572 ILF327567:ILF327572 IBJ327567:IBJ327572 HRN327567:HRN327572 HHR327567:HHR327572 GXV327567:GXV327572 GNZ327567:GNZ327572 GED327567:GED327572 FUH327567:FUH327572 FKL327567:FKL327572 FAP327567:FAP327572 EQT327567:EQT327572 EGX327567:EGX327572 DXB327567:DXB327572 DNF327567:DNF327572 DDJ327567:DDJ327572 CTN327567:CTN327572 CJR327567:CJR327572 BZV327567:BZV327572 BPZ327567:BPZ327572 BGD327567:BGD327572 AWH327567:AWH327572 AML327567:AML327572 ACP327567:ACP327572 ST327567:ST327572 IX327567:IX327572 WVJ327558 WLN327558 WBR327558 VRV327558 VHZ327558 UYD327558 UOH327558 UEL327558 TUP327558 TKT327558 TAX327558 SRB327558 SHF327558 RXJ327558 RNN327558 RDR327558 QTV327558 QJZ327558 QAD327558 PQH327558 PGL327558 OWP327558 OMT327558 OCX327558 NTB327558 NJF327558 MZJ327558 MPN327558 MFR327558 LVV327558 LLZ327558 LCD327558 KSH327558 KIL327558 JYP327558 JOT327558 JEX327558 IVB327558 ILF327558 IBJ327558 HRN327558 HHR327558 GXV327558 GNZ327558 GED327558 FUH327558 FKL327558 FAP327558 EQT327558 EGX327558 DXB327558 DNF327558 DDJ327558 CTN327558 CJR327558 BZV327558 BPZ327558 BGD327558 AWH327558 AML327558 ACP327558 ST327558 IX327558 WVJ327556 WLN327556 WBR327556 VRV327556 VHZ327556 UYD327556 UOH327556 UEL327556 TUP327556 TKT327556 TAX327556 SRB327556 SHF327556 RXJ327556 RNN327556 RDR327556 QTV327556 QJZ327556 QAD327556 PQH327556 PGL327556 OWP327556 OMT327556 OCX327556 NTB327556 NJF327556 MZJ327556 MPN327556 MFR327556 LVV327556 LLZ327556 LCD327556 KSH327556 KIL327556 JYP327556 JOT327556 JEX327556 IVB327556 ILF327556 IBJ327556 HRN327556 HHR327556 GXV327556 GNZ327556 GED327556 FUH327556 FKL327556 FAP327556 EQT327556 EGX327556 DXB327556 DNF327556 DDJ327556 CTN327556 CJR327556 BZV327556 BPZ327556 BGD327556 AWH327556 AML327556 ACP327556 ST327556 IX327556 WVJ327552 WLN327552 WBR327552 VRV327552 VHZ327552 UYD327552 UOH327552 UEL327552 TUP327552 TKT327552 TAX327552 SRB327552 SHF327552 RXJ327552 RNN327552 RDR327552 QTV327552 QJZ327552 QAD327552 PQH327552 PGL327552 OWP327552 OMT327552 OCX327552 NTB327552 NJF327552 MZJ327552 MPN327552 MFR327552 LVV327552 LLZ327552 LCD327552 KSH327552 KIL327552 JYP327552 JOT327552 JEX327552 IVB327552 ILF327552 IBJ327552 HRN327552 HHR327552 GXV327552 GNZ327552 GED327552 FUH327552 FKL327552 FAP327552 EQT327552 EGX327552 DXB327552 DNF327552 DDJ327552 CTN327552 CJR327552 BZV327552 BPZ327552 BGD327552 AWH327552 AML327552 ACP327552 ST327552 IX327552 WVJ327550 WLN327550 WBR327550 VRV327550 VHZ327550 UYD327550 UOH327550 UEL327550 TUP327550 TKT327550 TAX327550 SRB327550 SHF327550 RXJ327550 RNN327550 RDR327550 QTV327550 QJZ327550 QAD327550 PQH327550 PGL327550 OWP327550 OMT327550 OCX327550 NTB327550 NJF327550 MZJ327550 MPN327550 MFR327550 LVV327550 LLZ327550 LCD327550 KSH327550 KIL327550 JYP327550 JOT327550 JEX327550 IVB327550 ILF327550 IBJ327550 HRN327550 HHR327550 GXV327550 GNZ327550 GED327550 FUH327550 FKL327550 FAP327550 EQT327550 EGX327550 DXB327550 DNF327550 DDJ327550 CTN327550 CJR327550 BZV327550 BPZ327550 BGD327550 AWH327550 AML327550 ACP327550 ST327550 IX327550 WVJ262031:WVJ262036 WLN262031:WLN262036 WBR262031:WBR262036 VRV262031:VRV262036 VHZ262031:VHZ262036 UYD262031:UYD262036 UOH262031:UOH262036 UEL262031:UEL262036 TUP262031:TUP262036 TKT262031:TKT262036 TAX262031:TAX262036 SRB262031:SRB262036 SHF262031:SHF262036 RXJ262031:RXJ262036 RNN262031:RNN262036 RDR262031:RDR262036 QTV262031:QTV262036 QJZ262031:QJZ262036 QAD262031:QAD262036 PQH262031:PQH262036 PGL262031:PGL262036 OWP262031:OWP262036 OMT262031:OMT262036 OCX262031:OCX262036 NTB262031:NTB262036 NJF262031:NJF262036 MZJ262031:MZJ262036 MPN262031:MPN262036 MFR262031:MFR262036 LVV262031:LVV262036 LLZ262031:LLZ262036 LCD262031:LCD262036 KSH262031:KSH262036 KIL262031:KIL262036 JYP262031:JYP262036 JOT262031:JOT262036 JEX262031:JEX262036 IVB262031:IVB262036 ILF262031:ILF262036 IBJ262031:IBJ262036 HRN262031:HRN262036 HHR262031:HHR262036 GXV262031:GXV262036 GNZ262031:GNZ262036 GED262031:GED262036 FUH262031:FUH262036 FKL262031:FKL262036 FAP262031:FAP262036 EQT262031:EQT262036 EGX262031:EGX262036 DXB262031:DXB262036 DNF262031:DNF262036 DDJ262031:DDJ262036 CTN262031:CTN262036 CJR262031:CJR262036 BZV262031:BZV262036 BPZ262031:BPZ262036 BGD262031:BGD262036 AWH262031:AWH262036 AML262031:AML262036 ACP262031:ACP262036 ST262031:ST262036 IX262031:IX262036 WVJ262022 WLN262022 WBR262022 VRV262022 VHZ262022 UYD262022 UOH262022 UEL262022 TUP262022 TKT262022 TAX262022 SRB262022 SHF262022 RXJ262022 RNN262022 RDR262022 QTV262022 QJZ262022 QAD262022 PQH262022 PGL262022 OWP262022 OMT262022 OCX262022 NTB262022 NJF262022 MZJ262022 MPN262022 MFR262022 LVV262022 LLZ262022 LCD262022 KSH262022 KIL262022 JYP262022 JOT262022 JEX262022 IVB262022 ILF262022 IBJ262022 HRN262022 HHR262022 GXV262022 GNZ262022 GED262022 FUH262022 FKL262022 FAP262022 EQT262022 EGX262022 DXB262022 DNF262022 DDJ262022 CTN262022 CJR262022 BZV262022 BPZ262022 BGD262022 AWH262022 AML262022 ACP262022 ST262022 IX262022 WVJ262020 WLN262020 WBR262020 VRV262020 VHZ262020 UYD262020 UOH262020 UEL262020 TUP262020 TKT262020 TAX262020 SRB262020 SHF262020 RXJ262020 RNN262020 RDR262020 QTV262020 QJZ262020 QAD262020 PQH262020 PGL262020 OWP262020 OMT262020 OCX262020 NTB262020 NJF262020 MZJ262020 MPN262020 MFR262020 LVV262020 LLZ262020 LCD262020 KSH262020 KIL262020 JYP262020 JOT262020 JEX262020 IVB262020 ILF262020 IBJ262020 HRN262020 HHR262020 GXV262020 GNZ262020 GED262020 FUH262020 FKL262020 FAP262020 EQT262020 EGX262020 DXB262020 DNF262020 DDJ262020 CTN262020 CJR262020 BZV262020 BPZ262020 BGD262020 AWH262020 AML262020 ACP262020 ST262020 IX262020 WVJ262016 WLN262016 WBR262016 VRV262016 VHZ262016 UYD262016 UOH262016 UEL262016 TUP262016 TKT262016 TAX262016 SRB262016 SHF262016 RXJ262016 RNN262016 RDR262016 QTV262016 QJZ262016 QAD262016 PQH262016 PGL262016 OWP262016 OMT262016 OCX262016 NTB262016 NJF262016 MZJ262016 MPN262016 MFR262016 LVV262016 LLZ262016 LCD262016 KSH262016 KIL262016 JYP262016 JOT262016 JEX262016 IVB262016 ILF262016 IBJ262016 HRN262016 HHR262016 GXV262016 GNZ262016 GED262016 FUH262016 FKL262016 FAP262016 EQT262016 EGX262016 DXB262016 DNF262016 DDJ262016 CTN262016 CJR262016 BZV262016 BPZ262016 BGD262016 AWH262016 AML262016 ACP262016 ST262016 IX262016 WVJ262014 WLN262014 WBR262014 VRV262014 VHZ262014 UYD262014 UOH262014 UEL262014 TUP262014 TKT262014 TAX262014 SRB262014 SHF262014 RXJ262014 RNN262014 RDR262014 QTV262014 QJZ262014 QAD262014 PQH262014 PGL262014 OWP262014 OMT262014 OCX262014 NTB262014 NJF262014 MZJ262014 MPN262014 MFR262014 LVV262014 LLZ262014 LCD262014 KSH262014 KIL262014 JYP262014 JOT262014 JEX262014 IVB262014 ILF262014 IBJ262014 HRN262014 HHR262014 GXV262014 GNZ262014 GED262014 FUH262014 FKL262014 FAP262014 EQT262014 EGX262014 DXB262014 DNF262014 DDJ262014 CTN262014 CJR262014 BZV262014 BPZ262014 BGD262014 AWH262014 AML262014 ACP262014 ST262014 IX262014 WVJ196495:WVJ196500 WLN196495:WLN196500 WBR196495:WBR196500 VRV196495:VRV196500 VHZ196495:VHZ196500 UYD196495:UYD196500 UOH196495:UOH196500 UEL196495:UEL196500 TUP196495:TUP196500 TKT196495:TKT196500 TAX196495:TAX196500 SRB196495:SRB196500 SHF196495:SHF196500 RXJ196495:RXJ196500 RNN196495:RNN196500 RDR196495:RDR196500 QTV196495:QTV196500 QJZ196495:QJZ196500 QAD196495:QAD196500 PQH196495:PQH196500 PGL196495:PGL196500 OWP196495:OWP196500 OMT196495:OMT196500 OCX196495:OCX196500 NTB196495:NTB196500 NJF196495:NJF196500 MZJ196495:MZJ196500 MPN196495:MPN196500 MFR196495:MFR196500 LVV196495:LVV196500 LLZ196495:LLZ196500 LCD196495:LCD196500 KSH196495:KSH196500 KIL196495:KIL196500 JYP196495:JYP196500 JOT196495:JOT196500 JEX196495:JEX196500 IVB196495:IVB196500 ILF196495:ILF196500 IBJ196495:IBJ196500 HRN196495:HRN196500 HHR196495:HHR196500 GXV196495:GXV196500 GNZ196495:GNZ196500 GED196495:GED196500 FUH196495:FUH196500 FKL196495:FKL196500 FAP196495:FAP196500 EQT196495:EQT196500 EGX196495:EGX196500 DXB196495:DXB196500 DNF196495:DNF196500 DDJ196495:DDJ196500 CTN196495:CTN196500 CJR196495:CJR196500 BZV196495:BZV196500 BPZ196495:BPZ196500 BGD196495:BGD196500 AWH196495:AWH196500 AML196495:AML196500 ACP196495:ACP196500 ST196495:ST196500 IX196495:IX196500 WVJ196486 WLN196486 WBR196486 VRV196486 VHZ196486 UYD196486 UOH196486 UEL196486 TUP196486 TKT196486 TAX196486 SRB196486 SHF196486 RXJ196486 RNN196486 RDR196486 QTV196486 QJZ196486 QAD196486 PQH196486 PGL196486 OWP196486 OMT196486 OCX196486 NTB196486 NJF196486 MZJ196486 MPN196486 MFR196486 LVV196486 LLZ196486 LCD196486 KSH196486 KIL196486 JYP196486 JOT196486 JEX196486 IVB196486 ILF196486 IBJ196486 HRN196486 HHR196486 GXV196486 GNZ196486 GED196486 FUH196486 FKL196486 FAP196486 EQT196486 EGX196486 DXB196486 DNF196486 DDJ196486 CTN196486 CJR196486 BZV196486 BPZ196486 BGD196486 AWH196486 AML196486 ACP196486 ST196486 IX196486 WVJ196484 WLN196484 WBR196484 VRV196484 VHZ196484 UYD196484 UOH196484 UEL196484 TUP196484 TKT196484 TAX196484 SRB196484 SHF196484 RXJ196484 RNN196484 RDR196484 QTV196484 QJZ196484 QAD196484 PQH196484 PGL196484 OWP196484 OMT196484 OCX196484 NTB196484 NJF196484 MZJ196484 MPN196484 MFR196484 LVV196484 LLZ196484 LCD196484 KSH196484 KIL196484 JYP196484 JOT196484 JEX196484 IVB196484 ILF196484 IBJ196484 HRN196484 HHR196484 GXV196484 GNZ196484 GED196484 FUH196484 FKL196484 FAP196484 EQT196484 EGX196484 DXB196484 DNF196484 DDJ196484 CTN196484 CJR196484 BZV196484 BPZ196484 BGD196484 AWH196484 AML196484 ACP196484 ST196484 IX196484 WVJ196480 WLN196480 WBR196480 VRV196480 VHZ196480 UYD196480 UOH196480 UEL196480 TUP196480 TKT196480 TAX196480 SRB196480 SHF196480 RXJ196480 RNN196480 RDR196480 QTV196480 QJZ196480 QAD196480 PQH196480 PGL196480 OWP196480 OMT196480 OCX196480 NTB196480 NJF196480 MZJ196480 MPN196480 MFR196480 LVV196480 LLZ196480 LCD196480 KSH196480 KIL196480 JYP196480 JOT196480 JEX196480 IVB196480 ILF196480 IBJ196480 HRN196480 HHR196480 GXV196480 GNZ196480 GED196480 FUH196480 FKL196480 FAP196480 EQT196480 EGX196480 DXB196480 DNF196480 DDJ196480 CTN196480 CJR196480 BZV196480 BPZ196480 BGD196480 AWH196480 AML196480 ACP196480 ST196480 IX196480 WVJ196478 WLN196478 WBR196478 VRV196478 VHZ196478 UYD196478 UOH196478 UEL196478 TUP196478 TKT196478 TAX196478 SRB196478 SHF196478 RXJ196478 RNN196478 RDR196478 QTV196478 QJZ196478 QAD196478 PQH196478 PGL196478 OWP196478 OMT196478 OCX196478 NTB196478 NJF196478 MZJ196478 MPN196478 MFR196478 LVV196478 LLZ196478 LCD196478 KSH196478 KIL196478 JYP196478 JOT196478 JEX196478 IVB196478 ILF196478 IBJ196478 HRN196478 HHR196478 GXV196478 GNZ196478 GED196478 FUH196478 FKL196478 FAP196478 EQT196478 EGX196478 DXB196478 DNF196478 DDJ196478 CTN196478 CJR196478 BZV196478 BPZ196478 BGD196478 AWH196478 AML196478 ACP196478 ST196478 IX196478 WVJ130959:WVJ130964 WLN130959:WLN130964 WBR130959:WBR130964 VRV130959:VRV130964 VHZ130959:VHZ130964 UYD130959:UYD130964 UOH130959:UOH130964 UEL130959:UEL130964 TUP130959:TUP130964 TKT130959:TKT130964 TAX130959:TAX130964 SRB130959:SRB130964 SHF130959:SHF130964 RXJ130959:RXJ130964 RNN130959:RNN130964 RDR130959:RDR130964 QTV130959:QTV130964 QJZ130959:QJZ130964 QAD130959:QAD130964 PQH130959:PQH130964 PGL130959:PGL130964 OWP130959:OWP130964 OMT130959:OMT130964 OCX130959:OCX130964 NTB130959:NTB130964 NJF130959:NJF130964 MZJ130959:MZJ130964 MPN130959:MPN130964 MFR130959:MFR130964 LVV130959:LVV130964 LLZ130959:LLZ130964 LCD130959:LCD130964 KSH130959:KSH130964 KIL130959:KIL130964 JYP130959:JYP130964 JOT130959:JOT130964 JEX130959:JEX130964 IVB130959:IVB130964 ILF130959:ILF130964 IBJ130959:IBJ130964 HRN130959:HRN130964 HHR130959:HHR130964 GXV130959:GXV130964 GNZ130959:GNZ130964 GED130959:GED130964 FUH130959:FUH130964 FKL130959:FKL130964 FAP130959:FAP130964 EQT130959:EQT130964 EGX130959:EGX130964 DXB130959:DXB130964 DNF130959:DNF130964 DDJ130959:DDJ130964 CTN130959:CTN130964 CJR130959:CJR130964 BZV130959:BZV130964 BPZ130959:BPZ130964 BGD130959:BGD130964 AWH130959:AWH130964 AML130959:AML130964 ACP130959:ACP130964 ST130959:ST130964 IX130959:IX130964 WVJ130950 WLN130950 WBR130950 VRV130950 VHZ130950 UYD130950 UOH130950 UEL130950 TUP130950 TKT130950 TAX130950 SRB130950 SHF130950 RXJ130950 RNN130950 RDR130950 QTV130950 QJZ130950 QAD130950 PQH130950 PGL130950 OWP130950 OMT130950 OCX130950 NTB130950 NJF130950 MZJ130950 MPN130950 MFR130950 LVV130950 LLZ130950 LCD130950 KSH130950 KIL130950 JYP130950 JOT130950 JEX130950 IVB130950 ILF130950 IBJ130950 HRN130950 HHR130950 GXV130950 GNZ130950 GED130950 FUH130950 FKL130950 FAP130950 EQT130950 EGX130950 DXB130950 DNF130950 DDJ130950 CTN130950 CJR130950 BZV130950 BPZ130950 BGD130950 AWH130950 AML130950 ACP130950 ST130950 IX130950 WVJ130948 WLN130948 WBR130948 VRV130948 VHZ130948 UYD130948 UOH130948 UEL130948 TUP130948 TKT130948 TAX130948 SRB130948 SHF130948 RXJ130948 RNN130948 RDR130948 QTV130948 QJZ130948 QAD130948 PQH130948 PGL130948 OWP130948 OMT130948 OCX130948 NTB130948 NJF130948 MZJ130948 MPN130948 MFR130948 LVV130948 LLZ130948 LCD130948 KSH130948 KIL130948 JYP130948 JOT130948 JEX130948 IVB130948 ILF130948 IBJ130948 HRN130948 HHR130948 GXV130948 GNZ130948 GED130948 FUH130948 FKL130948 FAP130948 EQT130948 EGX130948 DXB130948 DNF130948 DDJ130948 CTN130948 CJR130948 BZV130948 BPZ130948 BGD130948 AWH130948 AML130948 ACP130948 ST130948 IX130948 WVJ130944 WLN130944 WBR130944 VRV130944 VHZ130944 UYD130944 UOH130944 UEL130944 TUP130944 TKT130944 TAX130944 SRB130944 SHF130944 RXJ130944 RNN130944 RDR130944 QTV130944 QJZ130944 QAD130944 PQH130944 PGL130944 OWP130944 OMT130944 OCX130944 NTB130944 NJF130944 MZJ130944 MPN130944 MFR130944 LVV130944 LLZ130944 LCD130944 KSH130944 KIL130944 JYP130944 JOT130944 JEX130944 IVB130944 ILF130944 IBJ130944 HRN130944 HHR130944 GXV130944 GNZ130944 GED130944 FUH130944 FKL130944 FAP130944 EQT130944 EGX130944 DXB130944 DNF130944 DDJ130944 CTN130944 CJR130944 BZV130944 BPZ130944 BGD130944 AWH130944 AML130944 ACP130944 ST130944 IX130944 WVJ130942 WLN130942 WBR130942 VRV130942 VHZ130942 UYD130942 UOH130942 UEL130942 TUP130942 TKT130942 TAX130942 SRB130942 SHF130942 RXJ130942 RNN130942 RDR130942 QTV130942 QJZ130942 QAD130942 PQH130942 PGL130942 OWP130942 OMT130942 OCX130942 NTB130942 NJF130942 MZJ130942 MPN130942 MFR130942 LVV130942 LLZ130942 LCD130942 KSH130942 KIL130942 JYP130942 JOT130942 JEX130942 IVB130942 ILF130942 IBJ130942 HRN130942 HHR130942 GXV130942 GNZ130942 GED130942 FUH130942 FKL130942 FAP130942 EQT130942 EGX130942 DXB130942 DNF130942 DDJ130942 CTN130942 CJR130942 BZV130942 BPZ130942 BGD130942 AWH130942 AML130942 ACP130942 ST130942 IX130942 WVJ65423:WVJ65428 WLN65423:WLN65428 WBR65423:WBR65428 VRV65423:VRV65428 VHZ65423:VHZ65428 UYD65423:UYD65428 UOH65423:UOH65428 UEL65423:UEL65428 TUP65423:TUP65428 TKT65423:TKT65428 TAX65423:TAX65428 SRB65423:SRB65428 SHF65423:SHF65428 RXJ65423:RXJ65428 RNN65423:RNN65428 RDR65423:RDR65428 QTV65423:QTV65428 QJZ65423:QJZ65428 QAD65423:QAD65428 PQH65423:PQH65428 PGL65423:PGL65428 OWP65423:OWP65428 OMT65423:OMT65428 OCX65423:OCX65428 NTB65423:NTB65428 NJF65423:NJF65428 MZJ65423:MZJ65428 MPN65423:MPN65428 MFR65423:MFR65428 LVV65423:LVV65428 LLZ65423:LLZ65428 LCD65423:LCD65428 KSH65423:KSH65428 KIL65423:KIL65428 JYP65423:JYP65428 JOT65423:JOT65428 JEX65423:JEX65428 IVB65423:IVB65428 ILF65423:ILF65428 IBJ65423:IBJ65428 HRN65423:HRN65428 HHR65423:HHR65428 GXV65423:GXV65428 GNZ65423:GNZ65428 GED65423:GED65428 FUH65423:FUH65428 FKL65423:FKL65428 FAP65423:FAP65428 EQT65423:EQT65428 EGX65423:EGX65428 DXB65423:DXB65428 DNF65423:DNF65428 DDJ65423:DDJ65428 CTN65423:CTN65428 CJR65423:CJR65428 BZV65423:BZV65428 BPZ65423:BPZ65428 BGD65423:BGD65428 AWH65423:AWH65428 AML65423:AML65428 ACP65423:ACP65428 ST65423:ST65428 IX65423:IX65428 WVJ65414 WLN65414 WBR65414 VRV65414 VHZ65414 UYD65414 UOH65414 UEL65414 TUP65414 TKT65414 TAX65414 SRB65414 SHF65414 RXJ65414 RNN65414 RDR65414 QTV65414 QJZ65414 QAD65414 PQH65414 PGL65414 OWP65414 OMT65414 OCX65414 NTB65414 NJF65414 MZJ65414 MPN65414 MFR65414 LVV65414 LLZ65414 LCD65414 KSH65414 KIL65414 JYP65414 JOT65414 JEX65414 IVB65414 ILF65414 IBJ65414 HRN65414 HHR65414 GXV65414 GNZ65414 GED65414 FUH65414 FKL65414 FAP65414 EQT65414 EGX65414 DXB65414 DNF65414 DDJ65414 CTN65414 CJR65414 BZV65414 BPZ65414 BGD65414 AWH65414 AML65414 ACP65414 ST65414 IX65414 WVJ65412 WLN65412 WBR65412 VRV65412 VHZ65412 UYD65412 UOH65412 UEL65412 TUP65412 TKT65412 TAX65412 SRB65412 SHF65412 RXJ65412 RNN65412 RDR65412 QTV65412 QJZ65412 QAD65412 PQH65412 PGL65412 OWP65412 OMT65412 OCX65412 NTB65412 NJF65412 MZJ65412 MPN65412 MFR65412 LVV65412 LLZ65412 LCD65412 KSH65412 KIL65412 JYP65412 JOT65412 JEX65412 IVB65412 ILF65412 IBJ65412 HRN65412 HHR65412 GXV65412 GNZ65412 GED65412 FUH65412 FKL65412 FAP65412 EQT65412 EGX65412 DXB65412 DNF65412 DDJ65412 CTN65412 CJR65412 BZV65412 BPZ65412 BGD65412 AWH65412 AML65412 ACP65412 ST65412 IX65412 WVJ65408 WLN65408 WBR65408 VRV65408 VHZ65408 UYD65408 UOH65408 UEL65408 TUP65408 TKT65408 TAX65408 SRB65408 SHF65408 RXJ65408 RNN65408 RDR65408 QTV65408 QJZ65408 QAD65408 PQH65408 PGL65408 OWP65408 OMT65408 OCX65408 NTB65408 NJF65408 MZJ65408 MPN65408 MFR65408 LVV65408 LLZ65408 LCD65408 KSH65408 KIL65408 JYP65408 JOT65408 JEX65408 IVB65408 ILF65408 IBJ65408 HRN65408 HHR65408 GXV65408 GNZ65408 GED65408 FUH65408 FKL65408 FAP65408 EQT65408 EGX65408 DXB65408 DNF65408 DDJ65408 CTN65408 CJR65408 BZV65408 BPZ65408 BGD65408 AWH65408 AML65408 ACP65408 ST65408 IX65408 WVJ65406 WLN65406 WBR65406 VRV65406 VHZ65406 UYD65406 UOH65406 UEL65406 TUP65406 TKT65406 TAX65406 SRB65406 SHF65406 RXJ65406 RNN65406 RDR65406 QTV65406 QJZ65406 QAD65406 PQH65406 PGL65406 OWP65406 OMT65406 OCX65406 NTB65406 NJF65406 MZJ65406 MPN65406 MFR65406 LVV65406 LLZ65406 LCD65406 KSH65406 KIL65406 JYP65406 JOT65406 JEX65406 IVB65406 ILF65406 IBJ65406 HRN65406 HHR65406 GXV65406 GNZ65406 GED65406 FUH65406 FKL65406 FAP65406 EQT65406 EGX65406 DXB65406 DNF65406 DDJ65406 CTN65406 CJR65406 BZV65406 BPZ65406 BGD65406 AWH65406 AML65406 ACP65406 ST65406 IX65406 IX130956:IX130957 WVJ982982:WVJ982985 WVJ982924:WVJ982925 WVJ917388:WVJ917389 WVJ851852:WVJ851853 WVJ786316:WVJ786317 WVJ720780:WVJ720781 WVJ655244:WVJ655245 WVJ589708:WVJ589709 WVJ524172:WVJ524173 WVJ458636:WVJ458637 WVJ393100:WVJ393101 WVJ327564:WVJ327565 WVJ262028:WVJ262029 WVJ196492:WVJ196493 WVJ130956:WVJ130957 WVJ65420:WVJ65421 WLN982924:WLN982925 WLN917388:WLN917389 WLN851852:WLN851853 WLN786316:WLN786317 WLN720780:WLN720781 WLN655244:WLN655245 WLN589708:WLN589709 WLN524172:WLN524173 WLN458636:WLN458637 WLN393100:WLN393101 WLN327564:WLN327565 WLN262028:WLN262029 WLN196492:WLN196493 WLN130956:WLN130957 WLN65420:WLN65421 WBR982924:WBR982925 WBR917388:WBR917389 WBR851852:WBR851853 WBR786316:WBR786317 WBR720780:WBR720781 WBR655244:WBR655245 WBR589708:WBR589709 WBR524172:WBR524173 WBR458636:WBR458637 WBR393100:WBR393101 WBR327564:WBR327565 WBR262028:WBR262029 WBR196492:WBR196493 WBR130956:WBR130957 WBR65420:WBR65421 VRV982924:VRV982925 VRV917388:VRV917389 VRV851852:VRV851853 VRV786316:VRV786317 VRV720780:VRV720781 VRV655244:VRV655245 VRV589708:VRV589709 VRV524172:VRV524173 VRV458636:VRV458637 VRV393100:VRV393101 VRV327564:VRV327565 VRV262028:VRV262029 VRV196492:VRV196493 VRV130956:VRV130957 VRV65420:VRV65421 VHZ982924:VHZ982925 VHZ917388:VHZ917389 VHZ851852:VHZ851853 VHZ786316:VHZ786317 VHZ720780:VHZ720781 VHZ655244:VHZ655245 VHZ589708:VHZ589709 VHZ524172:VHZ524173 VHZ458636:VHZ458637 VHZ393100:VHZ393101 VHZ327564:VHZ327565 VHZ262028:VHZ262029 VHZ196492:VHZ196493 VHZ130956:VHZ130957 VHZ65420:VHZ65421 UYD982924:UYD982925 UYD917388:UYD917389 UYD851852:UYD851853 UYD786316:UYD786317 UYD720780:UYD720781 UYD655244:UYD655245 UYD589708:UYD589709 UYD524172:UYD524173 UYD458636:UYD458637 UYD393100:UYD393101 UYD327564:UYD327565 UYD262028:UYD262029 UYD196492:UYD196493 UYD130956:UYD130957 UYD65420:UYD65421 UOH982924:UOH982925 UOH917388:UOH917389 UOH851852:UOH851853 UOH786316:UOH786317 UOH720780:UOH720781 UOH655244:UOH655245 UOH589708:UOH589709 UOH524172:UOH524173 UOH458636:UOH458637 UOH393100:UOH393101 UOH327564:UOH327565 UOH262028:UOH262029 UOH196492:UOH196493 UOH130956:UOH130957 UOH65420:UOH65421 UEL982924:UEL982925 UEL917388:UEL917389 UEL851852:UEL851853 UEL786316:UEL786317 UEL720780:UEL720781 UEL655244:UEL655245 UEL589708:UEL589709 UEL524172:UEL524173 UEL458636:UEL458637 UEL393100:UEL393101 UEL327564:UEL327565 UEL262028:UEL262029 UEL196492:UEL196493 UEL130956:UEL130957 UEL65420:UEL65421 TUP982924:TUP982925 TUP917388:TUP917389 TUP851852:TUP851853 TUP786316:TUP786317 TUP720780:TUP720781 TUP655244:TUP655245 TUP589708:TUP589709 TUP524172:TUP524173 TUP458636:TUP458637 TUP393100:TUP393101 TUP327564:TUP327565 TUP262028:TUP262029 TUP196492:TUP196493 TUP130956:TUP130957 TUP65420:TUP65421 TKT982924:TKT982925 TKT917388:TKT917389 TKT851852:TKT851853 TKT786316:TKT786317 TKT720780:TKT720781 TKT655244:TKT655245 TKT589708:TKT589709 TKT524172:TKT524173 TKT458636:TKT458637 TKT393100:TKT393101 TKT327564:TKT327565 TKT262028:TKT262029 TKT196492:TKT196493 TKT130956:TKT130957 TKT65420:TKT65421 TAX982924:TAX982925 TAX917388:TAX917389 TAX851852:TAX851853 TAX786316:TAX786317 TAX720780:TAX720781 TAX655244:TAX655245 TAX589708:TAX589709 TAX524172:TAX524173 TAX458636:TAX458637 TAX393100:TAX393101 TAX327564:TAX327565 TAX262028:TAX262029 TAX196492:TAX196493 TAX130956:TAX130957 TAX65420:TAX65421 SRB982924:SRB982925 SRB917388:SRB917389 SRB851852:SRB851853 SRB786316:SRB786317 SRB720780:SRB720781 SRB655244:SRB655245 SRB589708:SRB589709 SRB524172:SRB524173 SRB458636:SRB458637 SRB393100:SRB393101 SRB327564:SRB327565 SRB262028:SRB262029 SRB196492:SRB196493 SRB130956:SRB130957 SRB65420:SRB65421 SHF982924:SHF982925 SHF917388:SHF917389 SHF851852:SHF851853 SHF786316:SHF786317 SHF720780:SHF720781 SHF655244:SHF655245 SHF589708:SHF589709 SHF524172:SHF524173 SHF458636:SHF458637 SHF393100:SHF393101 SHF327564:SHF327565 SHF262028:SHF262029 SHF196492:SHF196493 SHF130956:SHF130957 SHF65420:SHF65421 RXJ982924:RXJ982925 RXJ917388:RXJ917389 RXJ851852:RXJ851853 RXJ786316:RXJ786317 RXJ720780:RXJ720781 RXJ655244:RXJ655245 RXJ589708:RXJ589709 RXJ524172:RXJ524173 RXJ458636:RXJ458637 RXJ393100:RXJ393101 RXJ327564:RXJ327565 RXJ262028:RXJ262029 RXJ196492:RXJ196493 RXJ130956:RXJ130957 RXJ65420:RXJ65421 RNN982924:RNN982925 RNN917388:RNN917389 RNN851852:RNN851853 RNN786316:RNN786317 RNN720780:RNN720781 RNN655244:RNN655245 RNN589708:RNN589709 RNN524172:RNN524173 RNN458636:RNN458637 RNN393100:RNN393101 RNN327564:RNN327565 RNN262028:RNN262029 RNN196492:RNN196493 RNN130956:RNN130957 RNN65420:RNN65421 RDR982924:RDR982925 RDR917388:RDR917389 RDR851852:RDR851853 RDR786316:RDR786317 RDR720780:RDR720781 RDR655244:RDR655245 RDR589708:RDR589709 RDR524172:RDR524173 RDR458636:RDR458637 RDR393100:RDR393101 RDR327564:RDR327565 RDR262028:RDR262029 RDR196492:RDR196493 RDR130956:RDR130957 RDR65420:RDR65421 QTV982924:QTV982925 QTV917388:QTV917389 QTV851852:QTV851853 QTV786316:QTV786317 QTV720780:QTV720781 QTV655244:QTV655245 QTV589708:QTV589709 QTV524172:QTV524173 QTV458636:QTV458637 QTV393100:QTV393101 QTV327564:QTV327565 QTV262028:QTV262029 QTV196492:QTV196493 QTV130956:QTV130957 QTV65420:QTV65421 QJZ982924:QJZ982925 QJZ917388:QJZ917389 QJZ851852:QJZ851853 QJZ786316:QJZ786317 QJZ720780:QJZ720781 QJZ655244:QJZ655245 QJZ589708:QJZ589709 QJZ524172:QJZ524173 QJZ458636:QJZ458637 QJZ393100:QJZ393101 QJZ327564:QJZ327565 QJZ262028:QJZ262029 QJZ196492:QJZ196493 QJZ130956:QJZ130957 QJZ65420:QJZ65421 QAD982924:QAD982925 QAD917388:QAD917389 QAD851852:QAD851853 QAD786316:QAD786317 QAD720780:QAD720781 QAD655244:QAD655245 QAD589708:QAD589709 QAD524172:QAD524173 QAD458636:QAD458637 QAD393100:QAD393101 QAD327564:QAD327565 QAD262028:QAD262029 QAD196492:QAD196493 QAD130956:QAD130957 QAD65420:QAD65421 PQH982924:PQH982925 PQH917388:PQH917389 PQH851852:PQH851853 PQH786316:PQH786317 PQH720780:PQH720781 PQH655244:PQH655245 PQH589708:PQH589709 PQH524172:PQH524173 PQH458636:PQH458637 PQH393100:PQH393101 PQH327564:PQH327565 PQH262028:PQH262029 PQH196492:PQH196493 PQH130956:PQH130957 PQH65420:PQH65421 PGL982924:PGL982925 PGL917388:PGL917389 PGL851852:PGL851853 PGL786316:PGL786317 PGL720780:PGL720781 PGL655244:PGL655245 PGL589708:PGL589709 PGL524172:PGL524173 PGL458636:PGL458637 PGL393100:PGL393101 PGL327564:PGL327565 PGL262028:PGL262029 PGL196492:PGL196493 PGL130956:PGL130957 PGL65420:PGL65421 OWP982924:OWP982925 OWP917388:OWP917389 OWP851852:OWP851853 OWP786316:OWP786317 OWP720780:OWP720781 OWP655244:OWP655245 OWP589708:OWP589709 OWP524172:OWP524173 OWP458636:OWP458637 OWP393100:OWP393101 OWP327564:OWP327565 OWP262028:OWP262029 OWP196492:OWP196493 OWP130956:OWP130957 OWP65420:OWP65421 OMT982924:OMT982925 OMT917388:OMT917389 OMT851852:OMT851853 OMT786316:OMT786317 OMT720780:OMT720781 OMT655244:OMT655245 OMT589708:OMT589709 OMT524172:OMT524173 OMT458636:OMT458637 OMT393100:OMT393101 OMT327564:OMT327565 OMT262028:OMT262029 OMT196492:OMT196493 OMT130956:OMT130957 OMT65420:OMT65421 OCX982924:OCX982925 OCX917388:OCX917389 OCX851852:OCX851853 OCX786316:OCX786317 OCX720780:OCX720781 OCX655244:OCX655245 OCX589708:OCX589709 OCX524172:OCX524173 OCX458636:OCX458637 OCX393100:OCX393101 OCX327564:OCX327565 OCX262028:OCX262029 OCX196492:OCX196493 OCX130956:OCX130957 OCX65420:OCX65421 NTB982924:NTB982925 NTB917388:NTB917389 NTB851852:NTB851853 NTB786316:NTB786317 NTB720780:NTB720781 NTB655244:NTB655245 NTB589708:NTB589709 NTB524172:NTB524173 NTB458636:NTB458637 NTB393100:NTB393101 NTB327564:NTB327565 NTB262028:NTB262029 NTB196492:NTB196493 NTB130956:NTB130957 NTB65420:NTB65421 NJF982924:NJF982925 NJF917388:NJF917389 NJF851852:NJF851853 NJF786316:NJF786317 NJF720780:NJF720781 NJF655244:NJF655245 NJF589708:NJF589709 NJF524172:NJF524173 NJF458636:NJF458637 NJF393100:NJF393101 NJF327564:NJF327565 NJF262028:NJF262029 NJF196492:NJF196493 NJF130956:NJF130957 NJF65420:NJF65421 MZJ982924:MZJ982925 MZJ917388:MZJ917389 MZJ851852:MZJ851853 MZJ786316:MZJ786317 MZJ720780:MZJ720781 MZJ655244:MZJ655245 MZJ589708:MZJ589709 MZJ524172:MZJ524173 MZJ458636:MZJ458637 MZJ393100:MZJ393101 MZJ327564:MZJ327565 MZJ262028:MZJ262029 MZJ196492:MZJ196493 MZJ130956:MZJ130957 MZJ65420:MZJ65421 MPN982924:MPN982925 MPN917388:MPN917389 MPN851852:MPN851853 MPN786316:MPN786317 MPN720780:MPN720781 MPN655244:MPN655245 MPN589708:MPN589709 MPN524172:MPN524173 MPN458636:MPN458637 MPN393100:MPN393101 MPN327564:MPN327565 MPN262028:MPN262029 MPN196492:MPN196493 MPN130956:MPN130957 MPN65420:MPN65421 MFR982924:MFR982925 MFR917388:MFR917389 MFR851852:MFR851853 MFR786316:MFR786317 MFR720780:MFR720781 MFR655244:MFR655245 MFR589708:MFR589709 MFR524172:MFR524173 MFR458636:MFR458637 MFR393100:MFR393101 MFR327564:MFR327565 MFR262028:MFR262029 MFR196492:MFR196493 MFR130956:MFR130957 MFR65420:MFR65421 LVV982924:LVV982925 LVV917388:LVV917389 LVV851852:LVV851853 LVV786316:LVV786317 LVV720780:LVV720781 LVV655244:LVV655245 LVV589708:LVV589709 LVV524172:LVV524173 LVV458636:LVV458637 LVV393100:LVV393101 LVV327564:LVV327565 LVV262028:LVV262029 LVV196492:LVV196493 LVV130956:LVV130957 LVV65420:LVV65421 LLZ982924:LLZ982925 LLZ917388:LLZ917389 LLZ851852:LLZ851853 LLZ786316:LLZ786317 LLZ720780:LLZ720781 LLZ655244:LLZ655245 LLZ589708:LLZ589709 LLZ524172:LLZ524173 LLZ458636:LLZ458637 LLZ393100:LLZ393101 LLZ327564:LLZ327565 LLZ262028:LLZ262029 LLZ196492:LLZ196493 LLZ130956:LLZ130957 LLZ65420:LLZ65421 LCD982924:LCD982925 LCD917388:LCD917389 LCD851852:LCD851853 LCD786316:LCD786317 LCD720780:LCD720781 LCD655244:LCD655245 LCD589708:LCD589709 LCD524172:LCD524173 LCD458636:LCD458637 LCD393100:LCD393101 LCD327564:LCD327565 LCD262028:LCD262029 LCD196492:LCD196493 LCD130956:LCD130957 LCD65420:LCD65421 KSH982924:KSH982925 KSH917388:KSH917389 KSH851852:KSH851853 KSH786316:KSH786317 KSH720780:KSH720781 KSH655244:KSH655245 KSH589708:KSH589709 KSH524172:KSH524173 KSH458636:KSH458637 KSH393100:KSH393101 KSH327564:KSH327565 KSH262028:KSH262029 KSH196492:KSH196493 KSH130956:KSH130957 KSH65420:KSH65421 KIL982924:KIL982925 KIL917388:KIL917389 KIL851852:KIL851853 KIL786316:KIL786317 KIL720780:KIL720781 KIL655244:KIL655245 KIL589708:KIL589709 KIL524172:KIL524173 KIL458636:KIL458637 KIL393100:KIL393101 KIL327564:KIL327565 KIL262028:KIL262029 KIL196492:KIL196493 KIL130956:KIL130957 KIL65420:KIL65421 JYP982924:JYP982925 JYP917388:JYP917389 JYP851852:JYP851853 JYP786316:JYP786317 JYP720780:JYP720781 JYP655244:JYP655245 JYP589708:JYP589709 JYP524172:JYP524173 JYP458636:JYP458637 JYP393100:JYP393101 JYP327564:JYP327565 JYP262028:JYP262029 JYP196492:JYP196493 JYP130956:JYP130957 JYP65420:JYP65421 JOT982924:JOT982925 JOT917388:JOT917389 JOT851852:JOT851853 JOT786316:JOT786317 JOT720780:JOT720781 JOT655244:JOT655245 JOT589708:JOT589709 JOT524172:JOT524173 JOT458636:JOT458637 JOT393100:JOT393101 JOT327564:JOT327565 JOT262028:JOT262029 JOT196492:JOT196493 JOT130956:JOT130957 JOT65420:JOT65421 JEX982924:JEX982925 JEX917388:JEX917389 JEX851852:JEX851853 JEX786316:JEX786317 JEX720780:JEX720781 JEX655244:JEX655245 JEX589708:JEX589709 JEX524172:JEX524173 JEX458636:JEX458637 JEX393100:JEX393101 JEX327564:JEX327565 JEX262028:JEX262029 JEX196492:JEX196493 JEX130956:JEX130957 JEX65420:JEX65421 IVB982924:IVB982925 IVB917388:IVB917389 IVB851852:IVB851853 IVB786316:IVB786317 IVB720780:IVB720781 IVB655244:IVB655245 IVB589708:IVB589709 IVB524172:IVB524173 IVB458636:IVB458637 IVB393100:IVB393101 IVB327564:IVB327565 IVB262028:IVB262029 IVB196492:IVB196493 IVB130956:IVB130957 IVB65420:IVB65421 ILF982924:ILF982925 ILF917388:ILF917389 ILF851852:ILF851853 ILF786316:ILF786317 ILF720780:ILF720781 ILF655244:ILF655245 ILF589708:ILF589709 ILF524172:ILF524173 ILF458636:ILF458637 ILF393100:ILF393101 ILF327564:ILF327565 ILF262028:ILF262029 ILF196492:ILF196493 ILF130956:ILF130957 ILF65420:ILF65421 IBJ982924:IBJ982925 IBJ917388:IBJ917389 IBJ851852:IBJ851853 IBJ786316:IBJ786317 IBJ720780:IBJ720781 IBJ655244:IBJ655245 IBJ589708:IBJ589709 IBJ524172:IBJ524173 IBJ458636:IBJ458637 IBJ393100:IBJ393101 IBJ327564:IBJ327565 IBJ262028:IBJ262029 IBJ196492:IBJ196493 IBJ130956:IBJ130957 IBJ65420:IBJ65421 HRN982924:HRN982925 HRN917388:HRN917389 HRN851852:HRN851853 HRN786316:HRN786317 HRN720780:HRN720781 HRN655244:HRN655245 HRN589708:HRN589709 HRN524172:HRN524173 HRN458636:HRN458637 HRN393100:HRN393101 HRN327564:HRN327565 HRN262028:HRN262029 HRN196492:HRN196493 HRN130956:HRN130957 HRN65420:HRN65421 HHR982924:HHR982925 HHR917388:HHR917389 HHR851852:HHR851853 HHR786316:HHR786317 HHR720780:HHR720781 HHR655244:HHR655245 HHR589708:HHR589709 HHR524172:HHR524173 HHR458636:HHR458637 HHR393100:HHR393101 HHR327564:HHR327565 HHR262028:HHR262029 HHR196492:HHR196493 HHR130956:HHR130957 HHR65420:HHR65421 GXV982924:GXV982925 GXV917388:GXV917389 GXV851852:GXV851853 GXV786316:GXV786317 GXV720780:GXV720781 GXV655244:GXV655245 GXV589708:GXV589709 GXV524172:GXV524173 GXV458636:GXV458637 GXV393100:GXV393101 GXV327564:GXV327565 GXV262028:GXV262029 GXV196492:GXV196493 GXV130956:GXV130957 GXV65420:GXV65421 GNZ982924:GNZ982925 GNZ917388:GNZ917389 GNZ851852:GNZ851853 GNZ786316:GNZ786317 GNZ720780:GNZ720781 GNZ655244:GNZ655245 GNZ589708:GNZ589709 GNZ524172:GNZ524173 GNZ458636:GNZ458637 GNZ393100:GNZ393101 GNZ327564:GNZ327565 GNZ262028:GNZ262029 GNZ196492:GNZ196493 GNZ130956:GNZ130957 GNZ65420:GNZ65421 GED982924:GED982925 GED917388:GED917389 GED851852:GED851853 GED786316:GED786317 GED720780:GED720781 GED655244:GED655245 GED589708:GED589709 GED524172:GED524173 GED458636:GED458637 GED393100:GED393101 GED327564:GED327565 GED262028:GED262029 GED196492:GED196493 GED130956:GED130957 GED65420:GED65421 FUH982924:FUH982925 FUH917388:FUH917389 FUH851852:FUH851853 FUH786316:FUH786317 FUH720780:FUH720781 FUH655244:FUH655245 FUH589708:FUH589709 FUH524172:FUH524173 FUH458636:FUH458637 FUH393100:FUH393101 FUH327564:FUH327565 FUH262028:FUH262029 FUH196492:FUH196493 FUH130956:FUH130957 FUH65420:FUH65421 FKL982924:FKL982925 FKL917388:FKL917389 FKL851852:FKL851853 FKL786316:FKL786317 FKL720780:FKL720781 FKL655244:FKL655245 FKL589708:FKL589709 FKL524172:FKL524173 FKL458636:FKL458637 FKL393100:FKL393101 FKL327564:FKL327565 FKL262028:FKL262029 FKL196492:FKL196493 FKL130956:FKL130957 FKL65420:FKL65421 FAP982924:FAP982925 FAP917388:FAP917389 FAP851852:FAP851853 FAP786316:FAP786317 FAP720780:FAP720781 FAP655244:FAP655245 FAP589708:FAP589709 FAP524172:FAP524173 FAP458636:FAP458637 FAP393100:FAP393101 FAP327564:FAP327565 FAP262028:FAP262029 FAP196492:FAP196493 FAP130956:FAP130957 FAP65420:FAP65421 EQT982924:EQT982925 EQT917388:EQT917389 EQT851852:EQT851853 EQT786316:EQT786317 EQT720780:EQT720781 EQT655244:EQT655245 EQT589708:EQT589709 EQT524172:EQT524173 EQT458636:EQT458637 EQT393100:EQT393101 EQT327564:EQT327565 EQT262028:EQT262029 EQT196492:EQT196493 EQT130956:EQT130957 EQT65420:EQT65421 EGX982924:EGX982925 EGX917388:EGX917389 EGX851852:EGX851853 EGX786316:EGX786317 EGX720780:EGX720781 EGX655244:EGX655245 EGX589708:EGX589709 EGX524172:EGX524173 EGX458636:EGX458637 EGX393100:EGX393101 EGX327564:EGX327565 EGX262028:EGX262029 EGX196492:EGX196493 EGX130956:EGX130957 EGX65420:EGX65421 DXB982924:DXB982925 DXB917388:DXB917389 DXB851852:DXB851853 DXB786316:DXB786317 DXB720780:DXB720781 DXB655244:DXB655245 DXB589708:DXB589709 DXB524172:DXB524173 DXB458636:DXB458637 DXB393100:DXB393101 DXB327564:DXB327565 DXB262028:DXB262029 DXB196492:DXB196493 DXB130956:DXB130957 DXB65420:DXB65421 DNF982924:DNF982925 DNF917388:DNF917389 DNF851852:DNF851853 DNF786316:DNF786317 DNF720780:DNF720781 DNF655244:DNF655245 DNF589708:DNF589709 DNF524172:DNF524173 DNF458636:DNF458637 DNF393100:DNF393101 DNF327564:DNF327565 DNF262028:DNF262029 DNF196492:DNF196493 DNF130956:DNF130957 DNF65420:DNF65421 DDJ982924:DDJ982925 DDJ917388:DDJ917389 DDJ851852:DDJ851853 DDJ786316:DDJ786317 DDJ720780:DDJ720781 DDJ655244:DDJ655245 DDJ589708:DDJ589709 DDJ524172:DDJ524173 DDJ458636:DDJ458637 DDJ393100:DDJ393101 DDJ327564:DDJ327565 DDJ262028:DDJ262029 DDJ196492:DDJ196493 DDJ130956:DDJ130957 DDJ65420:DDJ65421 CTN982924:CTN982925 CTN917388:CTN917389 CTN851852:CTN851853 CTN786316:CTN786317 CTN720780:CTN720781 CTN655244:CTN655245 CTN589708:CTN589709 CTN524172:CTN524173 CTN458636:CTN458637 CTN393100:CTN393101 CTN327564:CTN327565 CTN262028:CTN262029 CTN196492:CTN196493 CTN130956:CTN130957 CTN65420:CTN65421 CJR982924:CJR982925 CJR917388:CJR917389 CJR851852:CJR851853 CJR786316:CJR786317 CJR720780:CJR720781 CJR655244:CJR655245 CJR589708:CJR589709 CJR524172:CJR524173 CJR458636:CJR458637 CJR393100:CJR393101 CJR327564:CJR327565 CJR262028:CJR262029 CJR196492:CJR196493 CJR130956:CJR130957 CJR65420:CJR65421 BZV982924:BZV982925 BZV917388:BZV917389 BZV851852:BZV851853 BZV786316:BZV786317 BZV720780:BZV720781 BZV655244:BZV655245 BZV589708:BZV589709 BZV524172:BZV524173 BZV458636:BZV458637 BZV393100:BZV393101 BZV327564:BZV327565 BZV262028:BZV262029 BZV196492:BZV196493 BZV130956:BZV130957 BZV65420:BZV65421 BPZ982924:BPZ982925 BPZ917388:BPZ917389 BPZ851852:BPZ851853 BPZ786316:BPZ786317 BPZ720780:BPZ720781 BPZ655244:BPZ655245 BPZ589708:BPZ589709 BPZ524172:BPZ524173 BPZ458636:BPZ458637 BPZ393100:BPZ393101 BPZ327564:BPZ327565 BPZ262028:BPZ262029 BPZ196492:BPZ196493 BPZ130956:BPZ130957 BPZ65420:BPZ65421 BGD982924:BGD982925 BGD917388:BGD917389 BGD851852:BGD851853 BGD786316:BGD786317 BGD720780:BGD720781 BGD655244:BGD655245 BGD589708:BGD589709 BGD524172:BGD524173 BGD458636:BGD458637 BGD393100:BGD393101 BGD327564:BGD327565 BGD262028:BGD262029 BGD196492:BGD196493 BGD130956:BGD130957 BGD65420:BGD65421 AWH982924:AWH982925 AWH917388:AWH917389 AWH851852:AWH851853 AWH786316:AWH786317 AWH720780:AWH720781 AWH655244:AWH655245 AWH589708:AWH589709 AWH524172:AWH524173 AWH458636:AWH458637 AWH393100:AWH393101 AWH327564:AWH327565 AWH262028:AWH262029 AWH196492:AWH196493 AWH130956:AWH130957 AWH65420:AWH65421 AML982924:AML982925 AML917388:AML917389 AML851852:AML851853 AML786316:AML786317 AML720780:AML720781 AML655244:AML655245 AML589708:AML589709 AML524172:AML524173 AML458636:AML458637 AML393100:AML393101 AML327564:AML327565 AML262028:AML262029 AML196492:AML196493 AML130956:AML130957 AML65420:AML65421 ACP982924:ACP982925 ACP917388:ACP917389 ACP851852:ACP851853 ACP786316:ACP786317 ACP720780:ACP720781 ACP655244:ACP655245 ACP589708:ACP589709 ACP524172:ACP524173 ACP458636:ACP458637 ACP393100:ACP393101 ACP327564:ACP327565 ACP262028:ACP262029 ACP196492:ACP196493 ACP130956:ACP130957 ACP65420:ACP65421 ST982924:ST982925 ST917388:ST917389 ST851852:ST851853 ST786316:ST786317 ST720780:ST720781 ST655244:ST655245 ST589708:ST589709 ST524172:ST524173 ST458636:ST458637 ST393100:ST393101 ST327564:ST327565 ST262028:ST262029 ST196492:ST196493 ST130956:ST130957 ST65420:ST65421 IX982924:IX982925 IX917388:IX917389 IX851852:IX851853 IX786316:IX786317 IX720780:IX720781 IX655244:IX655245 IX589708:IX589709 IX524172:IX524173 IX458636:IX458637 IX393100:IX393101 IX327564:IX327565 IX262028:IX262029 IX196492:IX196493 IX19:IX20 ST19:ST20 ACP19:ACP20 AML19:AML20 AWH19:AWH20 BGD19:BGD20 BPZ19:BPZ20 BZV19:BZV20 CJR19:CJR20 CTN19:CTN20 DDJ19:DDJ20 DNF19:DNF20 DXB19:DXB20 EGX19:EGX20 EQT19:EQT20 FAP19:FAP20 FKL19:FKL20 FUH19:FUH20 GED19:GED20 GNZ19:GNZ20 GXV19:GXV20 HHR19:HHR20 HRN19:HRN20 IBJ19:IBJ20 ILF19:ILF20 IVB19:IVB20 JEX19:JEX20 JOT19:JOT20 JYP19:JYP20 KIL19:KIL20 KSH19:KSH20 LCD19:LCD20 LLZ19:LLZ20 LVV19:LVV20 MFR19:MFR20 MPN19:MPN20 MZJ19:MZJ20 NJF19:NJF20 NTB19:NTB20 OCX19:OCX20 OMT19:OMT20 OWP19:OWP20 PGL19:PGL20 PQH19:PQH20 QAD19:QAD20 QJZ19:QJZ20 QTV19:QTV20 RDR19:RDR20 RNN19:RNN20 RXJ19:RXJ20 SHF19:SHF20 SRB19:SRB20 TAX19:TAX20 TKT19:TKT20 TUP19:TUP20 UEL19:UEL20 UOH19:UOH20 UYD19:UYD20 VHZ19:VHZ20 VRV19:VRV20 WBR19:WBR20 WLN19:WLN20 WVJ19:WVJ20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M75"/>
  <sheetViews>
    <sheetView zoomScale="90" zoomScaleNormal="90" zoomScaleSheetLayoutView="64" workbookViewId="0">
      <pane ySplit="3" topLeftCell="A4" activePane="bottomLeft" state="frozen"/>
      <selection pane="bottomLeft" activeCell="F10" sqref="F10"/>
    </sheetView>
  </sheetViews>
  <sheetFormatPr defaultColWidth="9" defaultRowHeight="14.25"/>
  <cols>
    <col min="1" max="1" width="12.42578125" style="1" customWidth="1"/>
    <col min="2" max="2" width="14" style="8" customWidth="1"/>
    <col min="3" max="3" width="13.42578125" style="1" customWidth="1"/>
    <col min="4" max="4" width="24" style="2" customWidth="1"/>
    <col min="5" max="5" width="25.42578125" style="1" customWidth="1"/>
    <col min="6" max="6" width="51.7109375" style="3" customWidth="1"/>
    <col min="7" max="7" width="17.42578125" style="23" customWidth="1"/>
    <col min="8" max="8" width="9" style="3" customWidth="1"/>
    <col min="9" max="10" width="9" style="3"/>
    <col min="11" max="11" width="10.42578125" style="3" customWidth="1"/>
    <col min="12" max="16384" width="9" style="3"/>
  </cols>
  <sheetData>
    <row r="1" spans="1:13" ht="30" customHeight="1">
      <c r="A1" s="441" t="s">
        <v>61</v>
      </c>
      <c r="B1" s="441"/>
      <c r="C1" s="441"/>
      <c r="D1" s="441"/>
      <c r="E1" s="441"/>
      <c r="F1" s="441"/>
      <c r="G1" s="441"/>
    </row>
    <row r="2" spans="1:13" ht="49.9" customHeight="1">
      <c r="A2" s="443" t="s">
        <v>60</v>
      </c>
      <c r="B2" s="443"/>
      <c r="C2" s="443"/>
      <c r="D2" s="443"/>
      <c r="E2" s="443"/>
      <c r="F2" s="443"/>
      <c r="G2" s="443"/>
    </row>
    <row r="3" spans="1:13" s="10" customFormat="1" ht="34.9" customHeight="1">
      <c r="A3" s="95" t="s">
        <v>13</v>
      </c>
      <c r="B3" s="95" t="s">
        <v>14</v>
      </c>
      <c r="C3" s="95" t="s">
        <v>15</v>
      </c>
      <c r="D3" s="95" t="s">
        <v>16</v>
      </c>
      <c r="E3" s="95" t="s">
        <v>27</v>
      </c>
      <c r="F3" s="95" t="s">
        <v>18</v>
      </c>
      <c r="G3" s="96" t="s">
        <v>52</v>
      </c>
      <c r="H3" s="9"/>
      <c r="I3" s="9"/>
      <c r="J3" s="9"/>
      <c r="K3" s="9"/>
      <c r="L3" s="9"/>
      <c r="M3" s="9"/>
    </row>
    <row r="4" spans="1:13" s="76" customFormat="1" ht="34.9" customHeight="1">
      <c r="A4" s="90"/>
      <c r="B4" s="91"/>
      <c r="C4" s="92"/>
      <c r="D4" s="89"/>
      <c r="E4" s="93"/>
      <c r="F4" s="94"/>
      <c r="G4" s="55"/>
      <c r="H4" s="75"/>
      <c r="I4" s="75"/>
      <c r="J4" s="75"/>
      <c r="K4" s="75"/>
      <c r="L4" s="75"/>
      <c r="M4" s="75"/>
    </row>
    <row r="5" spans="1:13" s="76" customFormat="1" ht="34.9" customHeight="1">
      <c r="A5" s="77"/>
      <c r="B5" s="78"/>
      <c r="C5" s="79"/>
      <c r="D5" s="80"/>
      <c r="E5" s="85"/>
      <c r="F5" s="81"/>
      <c r="G5" s="5"/>
      <c r="H5" s="75"/>
      <c r="I5" s="75"/>
      <c r="J5" s="75"/>
      <c r="K5" s="75"/>
      <c r="L5" s="75"/>
      <c r="M5" s="75"/>
    </row>
    <row r="6" spans="1:13" s="76" customFormat="1" ht="34.9" customHeight="1">
      <c r="A6" s="77"/>
      <c r="B6" s="78"/>
      <c r="C6" s="79"/>
      <c r="D6" s="82"/>
      <c r="E6" s="85"/>
      <c r="F6" s="83"/>
      <c r="G6" s="5"/>
      <c r="H6" s="75"/>
      <c r="I6" s="75"/>
      <c r="J6" s="75"/>
      <c r="K6" s="75"/>
      <c r="L6" s="75"/>
      <c r="M6" s="75"/>
    </row>
    <row r="7" spans="1:13" s="76" customFormat="1" ht="34.9" customHeight="1">
      <c r="A7" s="77"/>
      <c r="B7" s="78"/>
      <c r="C7" s="79"/>
      <c r="D7" s="80"/>
      <c r="E7" s="85"/>
      <c r="F7" s="83"/>
      <c r="G7" s="5"/>
      <c r="H7" s="75"/>
      <c r="I7" s="75"/>
      <c r="J7" s="75"/>
      <c r="K7" s="75"/>
      <c r="L7" s="75"/>
      <c r="M7" s="75"/>
    </row>
    <row r="8" spans="1:13" s="76" customFormat="1" ht="34.9" customHeight="1">
      <c r="A8" s="77"/>
      <c r="B8" s="78"/>
      <c r="C8" s="79"/>
      <c r="D8" s="82"/>
      <c r="E8" s="85"/>
      <c r="F8" s="83"/>
      <c r="G8" s="5"/>
      <c r="H8" s="75"/>
      <c r="I8" s="75"/>
      <c r="J8" s="75"/>
      <c r="K8" s="75"/>
      <c r="L8" s="75"/>
      <c r="M8" s="75"/>
    </row>
    <row r="9" spans="1:13" s="76" customFormat="1" ht="34.9" customHeight="1">
      <c r="A9" s="77"/>
      <c r="B9" s="78"/>
      <c r="C9" s="79"/>
      <c r="D9" s="80"/>
      <c r="E9" s="85"/>
      <c r="F9" s="83"/>
      <c r="G9" s="5"/>
      <c r="H9" s="75"/>
      <c r="I9" s="75"/>
      <c r="J9" s="75"/>
      <c r="K9" s="75"/>
      <c r="L9" s="75"/>
      <c r="M9" s="75"/>
    </row>
    <row r="10" spans="1:13" s="76" customFormat="1" ht="34.9" customHeight="1">
      <c r="A10" s="77"/>
      <c r="B10" s="78"/>
      <c r="C10" s="79"/>
      <c r="D10" s="84"/>
      <c r="E10" s="85"/>
      <c r="F10" s="83"/>
      <c r="G10" s="5"/>
      <c r="H10" s="75"/>
      <c r="I10" s="75"/>
      <c r="J10" s="75"/>
      <c r="K10" s="75"/>
      <c r="L10" s="75"/>
      <c r="M10" s="75"/>
    </row>
    <row r="11" spans="1:13" s="76" customFormat="1" ht="34.9" customHeight="1">
      <c r="A11" s="77"/>
      <c r="B11" s="78"/>
      <c r="C11" s="79"/>
      <c r="D11" s="82"/>
      <c r="E11" s="85"/>
      <c r="F11" s="83"/>
      <c r="G11" s="5"/>
      <c r="H11" s="75"/>
      <c r="I11" s="75"/>
      <c r="J11" s="75"/>
      <c r="K11" s="75"/>
      <c r="L11" s="75"/>
      <c r="M11" s="75"/>
    </row>
    <row r="12" spans="1:13" s="76" customFormat="1" ht="34.9" customHeight="1">
      <c r="A12" s="77"/>
      <c r="B12" s="78"/>
      <c r="C12" s="79"/>
      <c r="D12" s="80"/>
      <c r="E12" s="85"/>
      <c r="F12" s="83"/>
      <c r="G12" s="5"/>
      <c r="H12" s="75"/>
      <c r="I12" s="75"/>
      <c r="J12" s="75"/>
      <c r="K12" s="75"/>
      <c r="L12" s="75"/>
      <c r="M12" s="75"/>
    </row>
    <row r="13" spans="1:13" s="76" customFormat="1" ht="34.9" customHeight="1">
      <c r="A13" s="77"/>
      <c r="B13" s="78"/>
      <c r="C13" s="79"/>
      <c r="D13" s="82"/>
      <c r="E13" s="85"/>
      <c r="F13" s="83"/>
      <c r="G13" s="5"/>
      <c r="H13" s="75"/>
      <c r="I13" s="75"/>
      <c r="J13" s="75"/>
      <c r="K13" s="75"/>
      <c r="L13" s="75"/>
      <c r="M13" s="75"/>
    </row>
    <row r="14" spans="1:13" s="76" customFormat="1" ht="34.9" customHeight="1">
      <c r="A14" s="77"/>
      <c r="B14" s="78"/>
      <c r="C14" s="79"/>
      <c r="D14" s="80"/>
      <c r="E14" s="85"/>
      <c r="F14" s="83"/>
      <c r="G14" s="5"/>
      <c r="H14" s="75"/>
      <c r="I14" s="75"/>
      <c r="J14" s="75"/>
      <c r="K14" s="75"/>
      <c r="L14" s="75"/>
      <c r="M14" s="75"/>
    </row>
    <row r="15" spans="1:13" s="76" customFormat="1" ht="34.9" customHeight="1">
      <c r="A15" s="77"/>
      <c r="B15" s="78"/>
      <c r="C15" s="79"/>
      <c r="D15" s="82"/>
      <c r="E15" s="85"/>
      <c r="F15" s="81"/>
      <c r="G15" s="5"/>
      <c r="H15" s="75"/>
      <c r="I15" s="75"/>
      <c r="J15" s="75"/>
      <c r="K15" s="75"/>
      <c r="L15" s="75"/>
      <c r="M15" s="75"/>
    </row>
    <row r="16" spans="1:13" s="76" customFormat="1" ht="34.9" customHeight="1">
      <c r="A16" s="77"/>
      <c r="B16" s="78"/>
      <c r="C16" s="79"/>
      <c r="D16" s="82"/>
      <c r="E16" s="85"/>
      <c r="F16" s="83"/>
      <c r="G16" s="5"/>
      <c r="H16" s="75"/>
      <c r="I16" s="75"/>
      <c r="J16" s="75"/>
      <c r="K16" s="75"/>
      <c r="L16" s="75"/>
      <c r="M16" s="75"/>
    </row>
    <row r="17" spans="1:13" s="76" customFormat="1" ht="34.9" customHeight="1">
      <c r="A17" s="77"/>
      <c r="B17" s="78"/>
      <c r="C17" s="79"/>
      <c r="D17" s="82"/>
      <c r="E17" s="85"/>
      <c r="F17" s="83"/>
      <c r="G17" s="5"/>
      <c r="H17" s="75"/>
      <c r="I17" s="75"/>
      <c r="J17" s="75"/>
      <c r="K17" s="75"/>
      <c r="L17" s="75"/>
      <c r="M17" s="75"/>
    </row>
    <row r="18" spans="1:13" s="76" customFormat="1" ht="34.9" customHeight="1">
      <c r="A18" s="77"/>
      <c r="B18" s="78"/>
      <c r="C18" s="79"/>
      <c r="D18" s="82"/>
      <c r="E18" s="85"/>
      <c r="F18" s="83"/>
      <c r="G18" s="5"/>
      <c r="H18" s="75"/>
      <c r="I18" s="75"/>
      <c r="J18" s="75"/>
      <c r="K18" s="75"/>
      <c r="L18" s="75"/>
      <c r="M18" s="75"/>
    </row>
    <row r="19" spans="1:13" s="76" customFormat="1" ht="34.9" customHeight="1">
      <c r="A19" s="77"/>
      <c r="B19" s="78"/>
      <c r="C19" s="79"/>
      <c r="D19" s="82"/>
      <c r="E19" s="85"/>
      <c r="F19" s="83"/>
      <c r="G19" s="5"/>
      <c r="H19" s="75"/>
      <c r="I19" s="75"/>
      <c r="J19" s="75"/>
      <c r="K19" s="75"/>
      <c r="L19" s="75"/>
      <c r="M19" s="75"/>
    </row>
    <row r="20" spans="1:13" s="76" customFormat="1" ht="34.9" customHeight="1">
      <c r="A20" s="77"/>
      <c r="B20" s="78"/>
      <c r="C20" s="79"/>
      <c r="D20" s="84"/>
      <c r="E20" s="85"/>
      <c r="F20" s="81"/>
      <c r="G20" s="5"/>
      <c r="H20" s="75"/>
      <c r="I20" s="75"/>
      <c r="J20" s="75"/>
      <c r="K20" s="75"/>
      <c r="L20" s="75"/>
      <c r="M20" s="75"/>
    </row>
    <row r="21" spans="1:13" s="76" customFormat="1" ht="34.9" customHeight="1">
      <c r="A21" s="77"/>
      <c r="B21" s="78"/>
      <c r="C21" s="79"/>
      <c r="D21" s="82"/>
      <c r="E21" s="85"/>
      <c r="F21" s="83"/>
      <c r="G21" s="5"/>
      <c r="H21" s="75"/>
      <c r="I21" s="75"/>
      <c r="J21" s="75"/>
      <c r="K21" s="75"/>
      <c r="L21" s="75"/>
      <c r="M21" s="75"/>
    </row>
    <row r="22" spans="1:13" s="76" customFormat="1" ht="34.9" customHeight="1">
      <c r="A22" s="77"/>
      <c r="B22" s="78"/>
      <c r="C22" s="79"/>
      <c r="D22" s="82"/>
      <c r="E22" s="85"/>
      <c r="F22" s="83"/>
      <c r="G22" s="5"/>
      <c r="H22" s="75"/>
      <c r="I22" s="75"/>
      <c r="J22" s="75"/>
      <c r="K22" s="75"/>
      <c r="L22" s="75"/>
      <c r="M22" s="75"/>
    </row>
    <row r="23" spans="1:13" s="76" customFormat="1" ht="34.9" customHeight="1">
      <c r="A23" s="77"/>
      <c r="B23" s="78"/>
      <c r="C23" s="79"/>
      <c r="D23" s="80"/>
      <c r="E23" s="85"/>
      <c r="F23" s="83"/>
      <c r="G23" s="5"/>
      <c r="H23" s="75"/>
      <c r="I23" s="75"/>
      <c r="J23" s="75"/>
      <c r="K23" s="75"/>
      <c r="L23" s="75"/>
      <c r="M23" s="75"/>
    </row>
    <row r="24" spans="1:13" s="76" customFormat="1" ht="34.9" hidden="1" customHeight="1">
      <c r="A24" s="77"/>
      <c r="B24" s="78" t="s">
        <v>7</v>
      </c>
      <c r="C24" s="79"/>
      <c r="D24" s="80"/>
      <c r="E24" s="85"/>
      <c r="F24" s="83"/>
      <c r="G24" s="5"/>
      <c r="H24" s="75"/>
      <c r="I24" s="75"/>
      <c r="J24" s="75"/>
      <c r="K24" s="75"/>
      <c r="L24" s="75"/>
      <c r="M24" s="75"/>
    </row>
    <row r="25" spans="1:13" s="76" customFormat="1" ht="34.9" hidden="1" customHeight="1">
      <c r="A25" s="77"/>
      <c r="B25" s="78" t="s">
        <v>7</v>
      </c>
      <c r="C25" s="79"/>
      <c r="D25" s="84"/>
      <c r="E25" s="85"/>
      <c r="F25" s="81"/>
      <c r="G25" s="5"/>
      <c r="H25" s="75"/>
      <c r="I25" s="75"/>
      <c r="J25" s="75"/>
      <c r="K25" s="75"/>
      <c r="L25" s="75"/>
      <c r="M25" s="75"/>
    </row>
    <row r="26" spans="1:13" s="76" customFormat="1" ht="34.9" hidden="1" customHeight="1">
      <c r="A26" s="77"/>
      <c r="B26" s="78" t="s">
        <v>7</v>
      </c>
      <c r="C26" s="79"/>
      <c r="D26" s="82"/>
      <c r="E26" s="85"/>
      <c r="F26" s="83"/>
      <c r="G26" s="5"/>
      <c r="H26" s="75"/>
      <c r="I26" s="75"/>
      <c r="J26" s="75"/>
      <c r="K26" s="75"/>
      <c r="L26" s="75"/>
      <c r="M26" s="75"/>
    </row>
    <row r="27" spans="1:13" s="76" customFormat="1" ht="34.9" hidden="1" customHeight="1">
      <c r="A27" s="77"/>
      <c r="B27" s="78" t="s">
        <v>7</v>
      </c>
      <c r="C27" s="79"/>
      <c r="D27" s="82"/>
      <c r="E27" s="85"/>
      <c r="F27" s="83"/>
      <c r="G27" s="5"/>
      <c r="H27" s="75"/>
      <c r="I27" s="75"/>
      <c r="J27" s="75"/>
      <c r="K27" s="75"/>
      <c r="L27" s="75"/>
      <c r="M27" s="75"/>
    </row>
    <row r="28" spans="1:13" s="76" customFormat="1" ht="34.9" hidden="1" customHeight="1">
      <c r="A28" s="77"/>
      <c r="B28" s="78" t="s">
        <v>7</v>
      </c>
      <c r="C28" s="79"/>
      <c r="D28" s="80"/>
      <c r="E28" s="85"/>
      <c r="F28" s="83"/>
      <c r="G28" s="5"/>
      <c r="H28" s="75"/>
      <c r="I28" s="75"/>
      <c r="J28" s="75"/>
      <c r="K28" s="75"/>
      <c r="L28" s="75"/>
      <c r="M28" s="75"/>
    </row>
    <row r="29" spans="1:13" ht="34.9" customHeight="1">
      <c r="A29" s="470" t="s">
        <v>9</v>
      </c>
      <c r="B29" s="470"/>
      <c r="C29" s="470"/>
      <c r="D29" s="470"/>
      <c r="E29" s="470"/>
      <c r="F29" s="470"/>
      <c r="G29" s="74">
        <f>SUM(G4:G28)</f>
        <v>0</v>
      </c>
      <c r="H29" s="4"/>
      <c r="I29" s="4"/>
      <c r="J29" s="4"/>
      <c r="K29" s="15"/>
      <c r="L29" s="4"/>
      <c r="M29" s="4"/>
    </row>
    <row r="30" spans="1:13" ht="14.65" customHeight="1">
      <c r="A30" s="30"/>
      <c r="B30" s="64"/>
      <c r="C30" s="32"/>
      <c r="D30" s="33"/>
      <c r="E30" s="32"/>
      <c r="F30" s="31"/>
      <c r="G30" s="35"/>
      <c r="H30" s="4"/>
      <c r="I30" s="4"/>
      <c r="J30" s="4"/>
      <c r="K30" s="4"/>
      <c r="L30" s="4"/>
      <c r="M30" s="4"/>
    </row>
    <row r="31" spans="1:13" s="17" customFormat="1" ht="25.15" customHeight="1">
      <c r="A31" s="471" t="s">
        <v>53</v>
      </c>
      <c r="B31" s="471"/>
      <c r="C31" s="471"/>
      <c r="D31" s="36"/>
      <c r="F31" s="37" t="s">
        <v>39</v>
      </c>
      <c r="G31" s="65"/>
    </row>
    <row r="32" spans="1:13" s="17" customFormat="1" ht="25.15" customHeight="1">
      <c r="A32" s="38"/>
      <c r="B32" s="66"/>
      <c r="C32" s="39"/>
      <c r="D32" s="36"/>
      <c r="E32" s="39"/>
      <c r="F32" s="30"/>
      <c r="G32" s="49"/>
    </row>
    <row r="33" spans="1:7" s="17" customFormat="1" ht="25.15" customHeight="1">
      <c r="A33" s="39"/>
      <c r="B33" s="66"/>
      <c r="C33" s="39"/>
      <c r="D33" s="36"/>
      <c r="E33" s="39"/>
      <c r="F33" s="30"/>
      <c r="G33" s="46"/>
    </row>
    <row r="34" spans="1:7" s="17" customFormat="1" ht="25.15" customHeight="1">
      <c r="A34" s="71" t="s">
        <v>3</v>
      </c>
      <c r="B34" s="67"/>
      <c r="C34" s="40"/>
      <c r="D34" s="36"/>
      <c r="F34" s="71" t="s">
        <v>3</v>
      </c>
      <c r="G34" s="40"/>
    </row>
    <row r="35" spans="1:7" s="17" customFormat="1" ht="25.15" customHeight="1">
      <c r="A35" s="41"/>
      <c r="B35" s="66"/>
      <c r="C35" s="39"/>
      <c r="D35" s="36"/>
      <c r="E35" s="39"/>
      <c r="F35" s="30"/>
      <c r="G35" s="30"/>
    </row>
    <row r="36" spans="1:7" s="17" customFormat="1" ht="25.15" customHeight="1">
      <c r="A36" s="71" t="s">
        <v>4</v>
      </c>
      <c r="B36" s="448"/>
      <c r="C36" s="448"/>
      <c r="D36" s="36"/>
      <c r="F36" s="71" t="s">
        <v>4</v>
      </c>
      <c r="G36" s="40"/>
    </row>
    <row r="37" spans="1:7" s="17" customFormat="1" ht="25.15" customHeight="1">
      <c r="A37" s="39"/>
      <c r="B37" s="66"/>
      <c r="C37" s="39"/>
      <c r="D37" s="36"/>
      <c r="E37" s="39"/>
      <c r="F37" s="42"/>
      <c r="G37" s="56"/>
    </row>
    <row r="38" spans="1:7" s="17" customFormat="1" ht="31.9" customHeight="1">
      <c r="A38" s="39"/>
      <c r="B38" s="39"/>
      <c r="C38" s="39"/>
      <c r="D38" s="468" t="str">
        <f>A2</f>
        <v>EXPENSES REIMBURSEMENT FOR JANUARY 2022</v>
      </c>
      <c r="E38" s="469"/>
      <c r="F38" s="39"/>
      <c r="G38" s="39"/>
    </row>
    <row r="39" spans="1:7" s="18" customFormat="1" ht="19.899999999999999" customHeight="1">
      <c r="A39" s="42"/>
      <c r="B39" s="42"/>
      <c r="C39" s="39"/>
      <c r="D39" s="69" t="s">
        <v>23</v>
      </c>
      <c r="E39" s="70" t="s">
        <v>54</v>
      </c>
      <c r="F39" s="42"/>
      <c r="G39" s="42"/>
    </row>
    <row r="40" spans="1:7" s="18" customFormat="1" ht="19.899999999999999" hidden="1" customHeight="1">
      <c r="A40" s="42"/>
      <c r="B40" s="42"/>
      <c r="C40" s="39"/>
      <c r="D40" s="62" t="s">
        <v>12</v>
      </c>
      <c r="E40" s="50">
        <f t="shared" ref="E40:E54" si="0">SUMIF($E$4:$E$28,D40,$G$4:$G$28)</f>
        <v>0</v>
      </c>
      <c r="F40" s="42"/>
      <c r="G40" s="42"/>
    </row>
    <row r="41" spans="1:7" s="18" customFormat="1" ht="19.899999999999999" customHeight="1">
      <c r="A41" s="42"/>
      <c r="B41" s="42"/>
      <c r="C41" s="39"/>
      <c r="D41" s="62" t="s">
        <v>24</v>
      </c>
      <c r="E41" s="50">
        <f t="shared" si="0"/>
        <v>0</v>
      </c>
      <c r="F41" s="42"/>
      <c r="G41" s="42"/>
    </row>
    <row r="42" spans="1:7" s="18" customFormat="1" ht="19.899999999999999" customHeight="1">
      <c r="A42" s="42"/>
      <c r="B42" s="42"/>
      <c r="C42" s="39"/>
      <c r="D42" s="62" t="s">
        <v>51</v>
      </c>
      <c r="E42" s="50">
        <f t="shared" si="0"/>
        <v>0</v>
      </c>
      <c r="F42" s="42"/>
      <c r="G42" s="42"/>
    </row>
    <row r="43" spans="1:7" s="18" customFormat="1" ht="19.899999999999999" hidden="1" customHeight="1">
      <c r="A43" s="42"/>
      <c r="B43" s="42"/>
      <c r="C43" s="39"/>
      <c r="D43" s="62" t="s">
        <v>42</v>
      </c>
      <c r="E43" s="50">
        <f t="shared" si="0"/>
        <v>0</v>
      </c>
      <c r="F43" s="42"/>
      <c r="G43" s="42"/>
    </row>
    <row r="44" spans="1:7" s="18" customFormat="1" ht="19.899999999999999" hidden="1" customHeight="1">
      <c r="A44" s="42"/>
      <c r="B44" s="42"/>
      <c r="C44" s="39"/>
      <c r="D44" s="62" t="s">
        <v>1</v>
      </c>
      <c r="E44" s="50">
        <f t="shared" si="0"/>
        <v>0</v>
      </c>
      <c r="F44" s="42"/>
      <c r="G44" s="42"/>
    </row>
    <row r="45" spans="1:7" s="18" customFormat="1" ht="19.899999999999999" hidden="1" customHeight="1">
      <c r="A45" s="42"/>
      <c r="B45" s="42"/>
      <c r="C45" s="39"/>
      <c r="D45" s="62" t="s">
        <v>49</v>
      </c>
      <c r="E45" s="50">
        <f t="shared" si="0"/>
        <v>0</v>
      </c>
      <c r="F45" s="42"/>
      <c r="G45" s="42"/>
    </row>
    <row r="46" spans="1:7" s="18" customFormat="1" ht="19.899999999999999" hidden="1" customHeight="1">
      <c r="A46" s="42"/>
      <c r="B46" s="42"/>
      <c r="C46" s="39"/>
      <c r="D46" s="62" t="s">
        <v>40</v>
      </c>
      <c r="E46" s="50">
        <f t="shared" si="0"/>
        <v>0</v>
      </c>
      <c r="F46" s="42"/>
      <c r="G46" s="42"/>
    </row>
    <row r="47" spans="1:7" s="18" customFormat="1" ht="19.899999999999999" customHeight="1">
      <c r="A47" s="42"/>
      <c r="B47" s="42"/>
      <c r="C47" s="39"/>
      <c r="D47" s="62" t="s">
        <v>48</v>
      </c>
      <c r="E47" s="50">
        <f t="shared" si="0"/>
        <v>0</v>
      </c>
      <c r="F47" s="42"/>
      <c r="G47" s="42"/>
    </row>
    <row r="48" spans="1:7" s="18" customFormat="1" ht="19.899999999999999" hidden="1" customHeight="1">
      <c r="A48" s="42"/>
      <c r="B48" s="42"/>
      <c r="C48" s="39"/>
      <c r="D48" s="62" t="s">
        <v>50</v>
      </c>
      <c r="E48" s="50">
        <f t="shared" si="0"/>
        <v>0</v>
      </c>
      <c r="F48" s="42"/>
      <c r="G48" s="42"/>
    </row>
    <row r="49" spans="1:7" s="18" customFormat="1" ht="19.899999999999999" hidden="1" customHeight="1">
      <c r="A49" s="42"/>
      <c r="B49" s="42"/>
      <c r="C49" s="39"/>
      <c r="D49" s="62" t="s">
        <v>38</v>
      </c>
      <c r="E49" s="50">
        <f t="shared" si="0"/>
        <v>0</v>
      </c>
      <c r="F49" s="42"/>
      <c r="G49" s="42"/>
    </row>
    <row r="50" spans="1:7" s="18" customFormat="1" ht="19.899999999999999" hidden="1" customHeight="1">
      <c r="A50" s="42"/>
      <c r="B50" s="42"/>
      <c r="C50" s="39"/>
      <c r="D50" s="62" t="s">
        <v>29</v>
      </c>
      <c r="E50" s="50">
        <f t="shared" si="0"/>
        <v>0</v>
      </c>
      <c r="F50" s="42"/>
      <c r="G50" s="42"/>
    </row>
    <row r="51" spans="1:7" s="18" customFormat="1" ht="19.899999999999999" hidden="1" customHeight="1">
      <c r="A51" s="42"/>
      <c r="B51" s="42"/>
      <c r="C51" s="39"/>
      <c r="D51" s="62" t="s">
        <v>47</v>
      </c>
      <c r="E51" s="50">
        <f t="shared" si="0"/>
        <v>0</v>
      </c>
      <c r="F51" s="42"/>
      <c r="G51" s="42"/>
    </row>
    <row r="52" spans="1:7" s="18" customFormat="1" ht="19.899999999999999" hidden="1" customHeight="1">
      <c r="A52" s="42"/>
      <c r="B52" s="42"/>
      <c r="C52" s="39"/>
      <c r="D52" s="45" t="s">
        <v>55</v>
      </c>
      <c r="E52" s="50">
        <f t="shared" si="0"/>
        <v>0</v>
      </c>
      <c r="F52" s="42"/>
      <c r="G52" s="42"/>
    </row>
    <row r="53" spans="1:7" s="18" customFormat="1" ht="19.899999999999999" customHeight="1">
      <c r="A53" s="42"/>
      <c r="B53" s="42"/>
      <c r="C53" s="39"/>
      <c r="D53" s="62" t="s">
        <v>26</v>
      </c>
      <c r="E53" s="50">
        <f t="shared" si="0"/>
        <v>0</v>
      </c>
      <c r="F53" s="42"/>
      <c r="G53" s="42"/>
    </row>
    <row r="54" spans="1:7" s="18" customFormat="1" ht="19.899999999999999" hidden="1" customHeight="1">
      <c r="A54" s="42"/>
      <c r="B54" s="42"/>
      <c r="C54" s="39"/>
      <c r="D54" s="62" t="s">
        <v>30</v>
      </c>
      <c r="E54" s="50">
        <f t="shared" si="0"/>
        <v>0</v>
      </c>
      <c r="F54" s="42"/>
      <c r="G54" s="42"/>
    </row>
    <row r="55" spans="1:7" s="18" customFormat="1" ht="19.899999999999999" customHeight="1">
      <c r="A55" s="42"/>
      <c r="B55" s="42"/>
      <c r="C55" s="39"/>
      <c r="D55" s="72" t="s">
        <v>28</v>
      </c>
      <c r="E55" s="73">
        <f>SUM(E40:E54)</f>
        <v>0</v>
      </c>
      <c r="F55" s="42"/>
      <c r="G55" s="42"/>
    </row>
    <row r="56" spans="1:7" s="18" customFormat="1" ht="25.15" customHeight="1">
      <c r="B56" s="66"/>
      <c r="C56" s="39"/>
      <c r="D56" s="36"/>
      <c r="E56" s="38"/>
      <c r="F56" s="29"/>
      <c r="G56" s="46"/>
    </row>
    <row r="57" spans="1:7" s="18" customFormat="1" ht="25.15" customHeight="1">
      <c r="A57" s="42"/>
      <c r="B57" s="66"/>
      <c r="C57" s="39"/>
      <c r="D57" s="36"/>
      <c r="E57" s="38"/>
      <c r="F57" s="29"/>
      <c r="G57" s="46"/>
    </row>
    <row r="58" spans="1:7" s="18" customFormat="1" ht="25.15" customHeight="1">
      <c r="B58" s="66"/>
      <c r="C58" s="39"/>
      <c r="D58" s="36"/>
      <c r="E58" s="11"/>
      <c r="F58" s="3"/>
      <c r="G58" s="19"/>
    </row>
    <row r="59" spans="1:7" s="18" customFormat="1" ht="25.15" customHeight="1">
      <c r="A59" s="30"/>
      <c r="B59" s="66"/>
      <c r="C59" s="39"/>
      <c r="D59" s="36"/>
      <c r="E59" s="11"/>
      <c r="F59" s="3"/>
      <c r="G59" s="22"/>
    </row>
    <row r="60" spans="1:7" s="18" customFormat="1" ht="25.15" customHeight="1">
      <c r="A60" s="13"/>
      <c r="B60" s="66"/>
      <c r="C60" s="39"/>
      <c r="D60" s="36"/>
      <c r="E60" s="11"/>
      <c r="F60" s="3"/>
      <c r="G60" s="22"/>
    </row>
    <row r="61" spans="1:7" s="18" customFormat="1" ht="25.15" customHeight="1">
      <c r="A61" s="11"/>
      <c r="B61" s="66"/>
      <c r="C61" s="39"/>
      <c r="D61" s="36"/>
      <c r="E61" s="11"/>
      <c r="F61" s="3"/>
      <c r="G61" s="22"/>
    </row>
    <row r="62" spans="1:7" s="18" customFormat="1" ht="25.15" customHeight="1">
      <c r="A62" s="11"/>
      <c r="B62" s="66"/>
      <c r="C62" s="39"/>
      <c r="D62" s="36"/>
      <c r="E62" s="11"/>
      <c r="F62" s="3"/>
      <c r="G62" s="22"/>
    </row>
    <row r="63" spans="1:7" s="18" customFormat="1" ht="25.15" customHeight="1">
      <c r="A63" s="11"/>
      <c r="B63" s="68"/>
      <c r="C63" s="11"/>
      <c r="D63" s="12"/>
      <c r="E63" s="11"/>
      <c r="F63" s="3"/>
      <c r="G63" s="22"/>
    </row>
    <row r="64" spans="1:7" s="18" customFormat="1" ht="25.15" customHeight="1">
      <c r="A64" s="11"/>
      <c r="B64" s="68"/>
      <c r="C64" s="11"/>
      <c r="D64" s="12"/>
      <c r="E64" s="11"/>
      <c r="F64" s="3"/>
      <c r="G64" s="22"/>
    </row>
    <row r="65" spans="1:7" s="18" customFormat="1" ht="25.15" customHeight="1">
      <c r="A65" s="11"/>
      <c r="B65" s="68"/>
      <c r="C65" s="11"/>
      <c r="D65" s="12"/>
      <c r="E65" s="11"/>
      <c r="F65" s="3"/>
      <c r="G65" s="22"/>
    </row>
    <row r="66" spans="1:7" s="18" customFormat="1" ht="25.15" customHeight="1">
      <c r="A66" s="11"/>
      <c r="B66" s="68"/>
      <c r="C66" s="11"/>
      <c r="D66" s="12"/>
      <c r="E66" s="11"/>
      <c r="F66" s="3"/>
      <c r="G66" s="22"/>
    </row>
    <row r="67" spans="1:7" s="18" customFormat="1" ht="25.15" customHeight="1">
      <c r="A67" s="11"/>
      <c r="B67" s="68"/>
      <c r="C67" s="11"/>
      <c r="D67" s="12"/>
      <c r="E67" s="11"/>
      <c r="F67" s="3"/>
      <c r="G67" s="22"/>
    </row>
    <row r="68" spans="1:7" s="18" customFormat="1" ht="25.15" customHeight="1">
      <c r="A68" s="11"/>
      <c r="B68" s="68"/>
      <c r="C68" s="11"/>
      <c r="D68" s="12"/>
      <c r="E68" s="11"/>
      <c r="F68" s="3"/>
      <c r="G68" s="22"/>
    </row>
    <row r="69" spans="1:7" s="18" customFormat="1" ht="25.15" customHeight="1">
      <c r="A69" s="11"/>
      <c r="B69" s="68"/>
      <c r="C69" s="11"/>
      <c r="D69" s="12"/>
      <c r="E69" s="11"/>
      <c r="F69" s="3"/>
      <c r="G69" s="22"/>
    </row>
    <row r="70" spans="1:7" s="18" customFormat="1" ht="25.15" customHeight="1">
      <c r="A70" s="11"/>
      <c r="B70" s="68"/>
      <c r="C70" s="11"/>
      <c r="D70" s="12"/>
      <c r="E70" s="11"/>
      <c r="F70" s="3"/>
      <c r="G70" s="22"/>
    </row>
    <row r="71" spans="1:7" s="18" customFormat="1" ht="25.15" customHeight="1">
      <c r="A71" s="11"/>
      <c r="B71" s="68"/>
      <c r="C71" s="11"/>
      <c r="D71" s="12"/>
      <c r="E71" s="11"/>
      <c r="F71" s="3"/>
      <c r="G71" s="22"/>
    </row>
    <row r="72" spans="1:7" s="18" customFormat="1" ht="25.15" customHeight="1">
      <c r="A72" s="11"/>
      <c r="B72" s="68"/>
      <c r="C72" s="11"/>
      <c r="D72" s="12"/>
      <c r="E72" s="11"/>
      <c r="F72" s="3"/>
      <c r="G72" s="22"/>
    </row>
    <row r="73" spans="1:7" s="18" customFormat="1" ht="25.15" customHeight="1">
      <c r="A73" s="11"/>
      <c r="B73" s="68"/>
      <c r="C73" s="11"/>
      <c r="D73" s="12"/>
      <c r="E73" s="11"/>
      <c r="F73" s="3"/>
      <c r="G73" s="20"/>
    </row>
    <row r="74" spans="1:7" s="18" customFormat="1" ht="25.15" customHeight="1">
      <c r="A74" s="11"/>
      <c r="B74" s="68"/>
      <c r="C74" s="11"/>
      <c r="D74" s="12"/>
      <c r="E74" s="11"/>
      <c r="F74" s="3"/>
      <c r="G74" s="20"/>
    </row>
    <row r="75" spans="1:7" s="18" customFormat="1" ht="25.15" customHeight="1">
      <c r="A75" s="11"/>
      <c r="B75" s="68"/>
      <c r="C75" s="11"/>
      <c r="D75" s="12"/>
      <c r="E75" s="11"/>
      <c r="F75" s="3"/>
      <c r="G75" s="20"/>
    </row>
  </sheetData>
  <autoFilter ref="A3:G29" xr:uid="{00000000-0009-0000-0000-000006000000}"/>
  <dataConsolidate/>
  <mergeCells count="6">
    <mergeCell ref="A1:G1"/>
    <mergeCell ref="A2:G2"/>
    <mergeCell ref="B36:C36"/>
    <mergeCell ref="D38:E38"/>
    <mergeCell ref="A29:F29"/>
    <mergeCell ref="A31:C31"/>
  </mergeCells>
  <phoneticPr fontId="35"/>
  <dataValidations count="2">
    <dataValidation type="list" allowBlank="1" showInputMessage="1" showErrorMessage="1" sqref="B4:B28" xr:uid="{00000000-0002-0000-0600-000000000000}">
      <formula1>"PAYMENT,PAYMENT to Ms.YAMAZAKI,PAYMENT to Mr.TAKECHI,RECEIPT"</formula1>
    </dataValidation>
    <dataValidation type="list" allowBlank="1" showInputMessage="1" showErrorMessage="1" sqref="E4:E28" xr:uid="{00000000-0002-0000-0600-000001000000}">
      <formula1>$D$40:$D$53</formula1>
    </dataValidation>
  </dataValidations>
  <printOptions horizontalCentered="1"/>
  <pageMargins left="0" right="0" top="0.5" bottom="0.5" header="0" footer="0"/>
  <pageSetup paperSize="9" scale="62"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$F$54:$F$74</xm:f>
          </x14:formula1>
          <xm:sqref>WVB983040:WVB983041 IP65553:IP65554 WVB29 WLF29 WBJ29 VRN29 VHR29 UXV29 UNZ29 UED29 TUH29 TKL29 TAP29 SQT29 SGX29 RXB29 RNF29 RDJ29 QTN29 QJR29 PZV29 PPZ29 PGD29 OWH29 OML29 OCP29 NST29 NIX29 MZB29 MPF29 MFJ29 LVN29 LLR29 LBV29 KRZ29 KID29 JYH29 JOL29 JEP29 IUT29 IKX29 IBB29 HRF29 HHJ29 GXN29 GNR29 GDV29 FTZ29 FKD29 FAH29 EQL29 EGP29 DWT29 DMX29 DDB29 CTF29 CJJ29 BZN29 BPR29 BFV29 AVZ29 AMD29 ACH29 SL29 IP29 WVB983035:WVB983037 WVB917579:WVB917582 WVB917504:WVB917505 WVB917499:WVB917501 WVB852043:WVB852046 WVB851968:WVB851969 WVB851963:WVB851965 WVB786507:WVB786510 WVB786432:WVB786433 WVB786427:WVB786429 WVB720971:WVB720974 WVB720896:WVB720897 WVB720891:WVB720893 WVB655435:WVB655438 WVB655360:WVB655361 WVB655355:WVB655357 WVB589899:WVB589902 WVB589824:WVB589825 WVB589819:WVB589821 WVB524363:WVB524366 WVB524288:WVB524289 WVB524283:WVB524285 WVB458827:WVB458830 WVB458752:WVB458753 WVB458747:WVB458749 WVB393291:WVB393294 WVB393216:WVB393217 WVB393211:WVB393213 WVB327755:WVB327758 WVB327680:WVB327681 WVB327675:WVB327677 WVB262219:WVB262222 WVB262144:WVB262145 WVB262139:WVB262141 WVB196683:WVB196686 WVB196608:WVB196609 WVB196603:WVB196605 WVB131147:WVB131150 WVB131072:WVB131073 WVB131067:WVB131069 WVB65611:WVB65614 WVB65536:WVB65537 WVB65531:WVB65533 WVB76:WVB78 WLF983115:WLF983118 WLF983040:WLF983041 WLF983035:WLF983037 WLF917579:WLF917582 WLF917504:WLF917505 WLF917499:WLF917501 WLF852043:WLF852046 WLF851968:WLF851969 WLF851963:WLF851965 WLF786507:WLF786510 WLF786432:WLF786433 WLF786427:WLF786429 WLF720971:WLF720974 WLF720896:WLF720897 WLF720891:WLF720893 WLF655435:WLF655438 WLF655360:WLF655361 WLF655355:WLF655357 WLF589899:WLF589902 WLF589824:WLF589825 WLF589819:WLF589821 WLF524363:WLF524366 WLF524288:WLF524289 WLF524283:WLF524285 WLF458827:WLF458830 WLF458752:WLF458753 WLF458747:WLF458749 WLF393291:WLF393294 WLF393216:WLF393217 WLF393211:WLF393213 WLF327755:WLF327758 WLF327680:WLF327681 WLF327675:WLF327677 WLF262219:WLF262222 WLF262144:WLF262145 WLF262139:WLF262141 WLF196683:WLF196686 WLF196608:WLF196609 WLF196603:WLF196605 WLF131147:WLF131150 WLF131072:WLF131073 WLF131067:WLF131069 WLF65611:WLF65614 WLF65536:WLF65537 WLF65531:WLF65533 WLF76:WLF78 WBJ983115:WBJ983118 WBJ983040:WBJ983041 WBJ983035:WBJ983037 WBJ917579:WBJ917582 WBJ917504:WBJ917505 WBJ917499:WBJ917501 WBJ852043:WBJ852046 WBJ851968:WBJ851969 WBJ851963:WBJ851965 WBJ786507:WBJ786510 WBJ786432:WBJ786433 WBJ786427:WBJ786429 WBJ720971:WBJ720974 WBJ720896:WBJ720897 WBJ720891:WBJ720893 WBJ655435:WBJ655438 WBJ655360:WBJ655361 WBJ655355:WBJ655357 WBJ589899:WBJ589902 WBJ589824:WBJ589825 WBJ589819:WBJ589821 WBJ524363:WBJ524366 WBJ524288:WBJ524289 WBJ524283:WBJ524285 WBJ458827:WBJ458830 WBJ458752:WBJ458753 WBJ458747:WBJ458749 WBJ393291:WBJ393294 WBJ393216:WBJ393217 WBJ393211:WBJ393213 WBJ327755:WBJ327758 WBJ327680:WBJ327681 WBJ327675:WBJ327677 WBJ262219:WBJ262222 WBJ262144:WBJ262145 WBJ262139:WBJ262141 WBJ196683:WBJ196686 WBJ196608:WBJ196609 WBJ196603:WBJ196605 WBJ131147:WBJ131150 WBJ131072:WBJ131073 WBJ131067:WBJ131069 WBJ65611:WBJ65614 WBJ65536:WBJ65537 WBJ65531:WBJ65533 WBJ76:WBJ78 VRN983115:VRN983118 VRN983040:VRN983041 VRN983035:VRN983037 VRN917579:VRN917582 VRN917504:VRN917505 VRN917499:VRN917501 VRN852043:VRN852046 VRN851968:VRN851969 VRN851963:VRN851965 VRN786507:VRN786510 VRN786432:VRN786433 VRN786427:VRN786429 VRN720971:VRN720974 VRN720896:VRN720897 VRN720891:VRN720893 VRN655435:VRN655438 VRN655360:VRN655361 VRN655355:VRN655357 VRN589899:VRN589902 VRN589824:VRN589825 VRN589819:VRN589821 VRN524363:VRN524366 VRN524288:VRN524289 VRN524283:VRN524285 VRN458827:VRN458830 VRN458752:VRN458753 VRN458747:VRN458749 VRN393291:VRN393294 VRN393216:VRN393217 VRN393211:VRN393213 VRN327755:VRN327758 VRN327680:VRN327681 VRN327675:VRN327677 VRN262219:VRN262222 VRN262144:VRN262145 VRN262139:VRN262141 VRN196683:VRN196686 VRN196608:VRN196609 VRN196603:VRN196605 VRN131147:VRN131150 VRN131072:VRN131073 VRN131067:VRN131069 VRN65611:VRN65614 VRN65536:VRN65537 VRN65531:VRN65533 VRN76:VRN78 VHR983115:VHR983118 VHR983040:VHR983041 VHR983035:VHR983037 VHR917579:VHR917582 VHR917504:VHR917505 VHR917499:VHR917501 VHR852043:VHR852046 VHR851968:VHR851969 VHR851963:VHR851965 VHR786507:VHR786510 VHR786432:VHR786433 VHR786427:VHR786429 VHR720971:VHR720974 VHR720896:VHR720897 VHR720891:VHR720893 VHR655435:VHR655438 VHR655360:VHR655361 VHR655355:VHR655357 VHR589899:VHR589902 VHR589824:VHR589825 VHR589819:VHR589821 VHR524363:VHR524366 VHR524288:VHR524289 VHR524283:VHR524285 VHR458827:VHR458830 VHR458752:VHR458753 VHR458747:VHR458749 VHR393291:VHR393294 VHR393216:VHR393217 VHR393211:VHR393213 VHR327755:VHR327758 VHR327680:VHR327681 VHR327675:VHR327677 VHR262219:VHR262222 VHR262144:VHR262145 VHR262139:VHR262141 VHR196683:VHR196686 VHR196608:VHR196609 VHR196603:VHR196605 VHR131147:VHR131150 VHR131072:VHR131073 VHR131067:VHR131069 VHR65611:VHR65614 VHR65536:VHR65537 VHR65531:VHR65533 VHR76:VHR78 UXV983115:UXV983118 UXV983040:UXV983041 UXV983035:UXV983037 UXV917579:UXV917582 UXV917504:UXV917505 UXV917499:UXV917501 UXV852043:UXV852046 UXV851968:UXV851969 UXV851963:UXV851965 UXV786507:UXV786510 UXV786432:UXV786433 UXV786427:UXV786429 UXV720971:UXV720974 UXV720896:UXV720897 UXV720891:UXV720893 UXV655435:UXV655438 UXV655360:UXV655361 UXV655355:UXV655357 UXV589899:UXV589902 UXV589824:UXV589825 UXV589819:UXV589821 UXV524363:UXV524366 UXV524288:UXV524289 UXV524283:UXV524285 UXV458827:UXV458830 UXV458752:UXV458753 UXV458747:UXV458749 UXV393291:UXV393294 UXV393216:UXV393217 UXV393211:UXV393213 UXV327755:UXV327758 UXV327680:UXV327681 UXV327675:UXV327677 UXV262219:UXV262222 UXV262144:UXV262145 UXV262139:UXV262141 UXV196683:UXV196686 UXV196608:UXV196609 UXV196603:UXV196605 UXV131147:UXV131150 UXV131072:UXV131073 UXV131067:UXV131069 UXV65611:UXV65614 UXV65536:UXV65537 UXV65531:UXV65533 UXV76:UXV78 UNZ983115:UNZ983118 UNZ983040:UNZ983041 UNZ983035:UNZ983037 UNZ917579:UNZ917582 UNZ917504:UNZ917505 UNZ917499:UNZ917501 UNZ852043:UNZ852046 UNZ851968:UNZ851969 UNZ851963:UNZ851965 UNZ786507:UNZ786510 UNZ786432:UNZ786433 UNZ786427:UNZ786429 UNZ720971:UNZ720974 UNZ720896:UNZ720897 UNZ720891:UNZ720893 UNZ655435:UNZ655438 UNZ655360:UNZ655361 UNZ655355:UNZ655357 UNZ589899:UNZ589902 UNZ589824:UNZ589825 UNZ589819:UNZ589821 UNZ524363:UNZ524366 UNZ524288:UNZ524289 UNZ524283:UNZ524285 UNZ458827:UNZ458830 UNZ458752:UNZ458753 UNZ458747:UNZ458749 UNZ393291:UNZ393294 UNZ393216:UNZ393217 UNZ393211:UNZ393213 UNZ327755:UNZ327758 UNZ327680:UNZ327681 UNZ327675:UNZ327677 UNZ262219:UNZ262222 UNZ262144:UNZ262145 UNZ262139:UNZ262141 UNZ196683:UNZ196686 UNZ196608:UNZ196609 UNZ196603:UNZ196605 UNZ131147:UNZ131150 UNZ131072:UNZ131073 UNZ131067:UNZ131069 UNZ65611:UNZ65614 UNZ65536:UNZ65537 UNZ65531:UNZ65533 UNZ76:UNZ78 UED983115:UED983118 UED983040:UED983041 UED983035:UED983037 UED917579:UED917582 UED917504:UED917505 UED917499:UED917501 UED852043:UED852046 UED851968:UED851969 UED851963:UED851965 UED786507:UED786510 UED786432:UED786433 UED786427:UED786429 UED720971:UED720974 UED720896:UED720897 UED720891:UED720893 UED655435:UED655438 UED655360:UED655361 UED655355:UED655357 UED589899:UED589902 UED589824:UED589825 UED589819:UED589821 UED524363:UED524366 UED524288:UED524289 UED524283:UED524285 UED458827:UED458830 UED458752:UED458753 UED458747:UED458749 UED393291:UED393294 UED393216:UED393217 UED393211:UED393213 UED327755:UED327758 UED327680:UED327681 UED327675:UED327677 UED262219:UED262222 UED262144:UED262145 UED262139:UED262141 UED196683:UED196686 UED196608:UED196609 UED196603:UED196605 UED131147:UED131150 UED131072:UED131073 UED131067:UED131069 UED65611:UED65614 UED65536:UED65537 UED65531:UED65533 UED76:UED78 TUH983115:TUH983118 TUH983040:TUH983041 TUH983035:TUH983037 TUH917579:TUH917582 TUH917504:TUH917505 TUH917499:TUH917501 TUH852043:TUH852046 TUH851968:TUH851969 TUH851963:TUH851965 TUH786507:TUH786510 TUH786432:TUH786433 TUH786427:TUH786429 TUH720971:TUH720974 TUH720896:TUH720897 TUH720891:TUH720893 TUH655435:TUH655438 TUH655360:TUH655361 TUH655355:TUH655357 TUH589899:TUH589902 TUH589824:TUH589825 TUH589819:TUH589821 TUH524363:TUH524366 TUH524288:TUH524289 TUH524283:TUH524285 TUH458827:TUH458830 TUH458752:TUH458753 TUH458747:TUH458749 TUH393291:TUH393294 TUH393216:TUH393217 TUH393211:TUH393213 TUH327755:TUH327758 TUH327680:TUH327681 TUH327675:TUH327677 TUH262219:TUH262222 TUH262144:TUH262145 TUH262139:TUH262141 TUH196683:TUH196686 TUH196608:TUH196609 TUH196603:TUH196605 TUH131147:TUH131150 TUH131072:TUH131073 TUH131067:TUH131069 TUH65611:TUH65614 TUH65536:TUH65537 TUH65531:TUH65533 TUH76:TUH78 TKL983115:TKL983118 TKL983040:TKL983041 TKL983035:TKL983037 TKL917579:TKL917582 TKL917504:TKL917505 TKL917499:TKL917501 TKL852043:TKL852046 TKL851968:TKL851969 TKL851963:TKL851965 TKL786507:TKL786510 TKL786432:TKL786433 TKL786427:TKL786429 TKL720971:TKL720974 TKL720896:TKL720897 TKL720891:TKL720893 TKL655435:TKL655438 TKL655360:TKL655361 TKL655355:TKL655357 TKL589899:TKL589902 TKL589824:TKL589825 TKL589819:TKL589821 TKL524363:TKL524366 TKL524288:TKL524289 TKL524283:TKL524285 TKL458827:TKL458830 TKL458752:TKL458753 TKL458747:TKL458749 TKL393291:TKL393294 TKL393216:TKL393217 TKL393211:TKL393213 TKL327755:TKL327758 TKL327680:TKL327681 TKL327675:TKL327677 TKL262219:TKL262222 TKL262144:TKL262145 TKL262139:TKL262141 TKL196683:TKL196686 TKL196608:TKL196609 TKL196603:TKL196605 TKL131147:TKL131150 TKL131072:TKL131073 TKL131067:TKL131069 TKL65611:TKL65614 TKL65536:TKL65537 TKL65531:TKL65533 TKL76:TKL78 TAP983115:TAP983118 TAP983040:TAP983041 TAP983035:TAP983037 TAP917579:TAP917582 TAP917504:TAP917505 TAP917499:TAP917501 TAP852043:TAP852046 TAP851968:TAP851969 TAP851963:TAP851965 TAP786507:TAP786510 TAP786432:TAP786433 TAP786427:TAP786429 TAP720971:TAP720974 TAP720896:TAP720897 TAP720891:TAP720893 TAP655435:TAP655438 TAP655360:TAP655361 TAP655355:TAP655357 TAP589899:TAP589902 TAP589824:TAP589825 TAP589819:TAP589821 TAP524363:TAP524366 TAP524288:TAP524289 TAP524283:TAP524285 TAP458827:TAP458830 TAP458752:TAP458753 TAP458747:TAP458749 TAP393291:TAP393294 TAP393216:TAP393217 TAP393211:TAP393213 TAP327755:TAP327758 TAP327680:TAP327681 TAP327675:TAP327677 TAP262219:TAP262222 TAP262144:TAP262145 TAP262139:TAP262141 TAP196683:TAP196686 TAP196608:TAP196609 TAP196603:TAP196605 TAP131147:TAP131150 TAP131072:TAP131073 TAP131067:TAP131069 TAP65611:TAP65614 TAP65536:TAP65537 TAP65531:TAP65533 TAP76:TAP78 SQT983115:SQT983118 SQT983040:SQT983041 SQT983035:SQT983037 SQT917579:SQT917582 SQT917504:SQT917505 SQT917499:SQT917501 SQT852043:SQT852046 SQT851968:SQT851969 SQT851963:SQT851965 SQT786507:SQT786510 SQT786432:SQT786433 SQT786427:SQT786429 SQT720971:SQT720974 SQT720896:SQT720897 SQT720891:SQT720893 SQT655435:SQT655438 SQT655360:SQT655361 SQT655355:SQT655357 SQT589899:SQT589902 SQT589824:SQT589825 SQT589819:SQT589821 SQT524363:SQT524366 SQT524288:SQT524289 SQT524283:SQT524285 SQT458827:SQT458830 SQT458752:SQT458753 SQT458747:SQT458749 SQT393291:SQT393294 SQT393216:SQT393217 SQT393211:SQT393213 SQT327755:SQT327758 SQT327680:SQT327681 SQT327675:SQT327677 SQT262219:SQT262222 SQT262144:SQT262145 SQT262139:SQT262141 SQT196683:SQT196686 SQT196608:SQT196609 SQT196603:SQT196605 SQT131147:SQT131150 SQT131072:SQT131073 SQT131067:SQT131069 SQT65611:SQT65614 SQT65536:SQT65537 SQT65531:SQT65533 SQT76:SQT78 SGX983115:SGX983118 SGX983040:SGX983041 SGX983035:SGX983037 SGX917579:SGX917582 SGX917504:SGX917505 SGX917499:SGX917501 SGX852043:SGX852046 SGX851968:SGX851969 SGX851963:SGX851965 SGX786507:SGX786510 SGX786432:SGX786433 SGX786427:SGX786429 SGX720971:SGX720974 SGX720896:SGX720897 SGX720891:SGX720893 SGX655435:SGX655438 SGX655360:SGX655361 SGX655355:SGX655357 SGX589899:SGX589902 SGX589824:SGX589825 SGX589819:SGX589821 SGX524363:SGX524366 SGX524288:SGX524289 SGX524283:SGX524285 SGX458827:SGX458830 SGX458752:SGX458753 SGX458747:SGX458749 SGX393291:SGX393294 SGX393216:SGX393217 SGX393211:SGX393213 SGX327755:SGX327758 SGX327680:SGX327681 SGX327675:SGX327677 SGX262219:SGX262222 SGX262144:SGX262145 SGX262139:SGX262141 SGX196683:SGX196686 SGX196608:SGX196609 SGX196603:SGX196605 SGX131147:SGX131150 SGX131072:SGX131073 SGX131067:SGX131069 SGX65611:SGX65614 SGX65536:SGX65537 SGX65531:SGX65533 SGX76:SGX78 RXB983115:RXB983118 RXB983040:RXB983041 RXB983035:RXB983037 RXB917579:RXB917582 RXB917504:RXB917505 RXB917499:RXB917501 RXB852043:RXB852046 RXB851968:RXB851969 RXB851963:RXB851965 RXB786507:RXB786510 RXB786432:RXB786433 RXB786427:RXB786429 RXB720971:RXB720974 RXB720896:RXB720897 RXB720891:RXB720893 RXB655435:RXB655438 RXB655360:RXB655361 RXB655355:RXB655357 RXB589899:RXB589902 RXB589824:RXB589825 RXB589819:RXB589821 RXB524363:RXB524366 RXB524288:RXB524289 RXB524283:RXB524285 RXB458827:RXB458830 RXB458752:RXB458753 RXB458747:RXB458749 RXB393291:RXB393294 RXB393216:RXB393217 RXB393211:RXB393213 RXB327755:RXB327758 RXB327680:RXB327681 RXB327675:RXB327677 RXB262219:RXB262222 RXB262144:RXB262145 RXB262139:RXB262141 RXB196683:RXB196686 RXB196608:RXB196609 RXB196603:RXB196605 RXB131147:RXB131150 RXB131072:RXB131073 RXB131067:RXB131069 RXB65611:RXB65614 RXB65536:RXB65537 RXB65531:RXB65533 RXB76:RXB78 RNF983115:RNF983118 RNF983040:RNF983041 RNF983035:RNF983037 RNF917579:RNF917582 RNF917504:RNF917505 RNF917499:RNF917501 RNF852043:RNF852046 RNF851968:RNF851969 RNF851963:RNF851965 RNF786507:RNF786510 RNF786432:RNF786433 RNF786427:RNF786429 RNF720971:RNF720974 RNF720896:RNF720897 RNF720891:RNF720893 RNF655435:RNF655438 RNF655360:RNF655361 RNF655355:RNF655357 RNF589899:RNF589902 RNF589824:RNF589825 RNF589819:RNF589821 RNF524363:RNF524366 RNF524288:RNF524289 RNF524283:RNF524285 RNF458827:RNF458830 RNF458752:RNF458753 RNF458747:RNF458749 RNF393291:RNF393294 RNF393216:RNF393217 RNF393211:RNF393213 RNF327755:RNF327758 RNF327680:RNF327681 RNF327675:RNF327677 RNF262219:RNF262222 RNF262144:RNF262145 RNF262139:RNF262141 RNF196683:RNF196686 RNF196608:RNF196609 RNF196603:RNF196605 RNF131147:RNF131150 RNF131072:RNF131073 RNF131067:RNF131069 RNF65611:RNF65614 RNF65536:RNF65537 RNF65531:RNF65533 RNF76:RNF78 RDJ983115:RDJ983118 RDJ983040:RDJ983041 RDJ983035:RDJ983037 RDJ917579:RDJ917582 RDJ917504:RDJ917505 RDJ917499:RDJ917501 RDJ852043:RDJ852046 RDJ851968:RDJ851969 RDJ851963:RDJ851965 RDJ786507:RDJ786510 RDJ786432:RDJ786433 RDJ786427:RDJ786429 RDJ720971:RDJ720974 RDJ720896:RDJ720897 RDJ720891:RDJ720893 RDJ655435:RDJ655438 RDJ655360:RDJ655361 RDJ655355:RDJ655357 RDJ589899:RDJ589902 RDJ589824:RDJ589825 RDJ589819:RDJ589821 RDJ524363:RDJ524366 RDJ524288:RDJ524289 RDJ524283:RDJ524285 RDJ458827:RDJ458830 RDJ458752:RDJ458753 RDJ458747:RDJ458749 RDJ393291:RDJ393294 RDJ393216:RDJ393217 RDJ393211:RDJ393213 RDJ327755:RDJ327758 RDJ327680:RDJ327681 RDJ327675:RDJ327677 RDJ262219:RDJ262222 RDJ262144:RDJ262145 RDJ262139:RDJ262141 RDJ196683:RDJ196686 RDJ196608:RDJ196609 RDJ196603:RDJ196605 RDJ131147:RDJ131150 RDJ131072:RDJ131073 RDJ131067:RDJ131069 RDJ65611:RDJ65614 RDJ65536:RDJ65537 RDJ65531:RDJ65533 RDJ76:RDJ78 QTN983115:QTN983118 QTN983040:QTN983041 QTN983035:QTN983037 QTN917579:QTN917582 QTN917504:QTN917505 QTN917499:QTN917501 QTN852043:QTN852046 QTN851968:QTN851969 QTN851963:QTN851965 QTN786507:QTN786510 QTN786432:QTN786433 QTN786427:QTN786429 QTN720971:QTN720974 QTN720896:QTN720897 QTN720891:QTN720893 QTN655435:QTN655438 QTN655360:QTN655361 QTN655355:QTN655357 QTN589899:QTN589902 QTN589824:QTN589825 QTN589819:QTN589821 QTN524363:QTN524366 QTN524288:QTN524289 QTN524283:QTN524285 QTN458827:QTN458830 QTN458752:QTN458753 QTN458747:QTN458749 QTN393291:QTN393294 QTN393216:QTN393217 QTN393211:QTN393213 QTN327755:QTN327758 QTN327680:QTN327681 QTN327675:QTN327677 QTN262219:QTN262222 QTN262144:QTN262145 QTN262139:QTN262141 QTN196683:QTN196686 QTN196608:QTN196609 QTN196603:QTN196605 QTN131147:QTN131150 QTN131072:QTN131073 QTN131067:QTN131069 QTN65611:QTN65614 QTN65536:QTN65537 QTN65531:QTN65533 QTN76:QTN78 QJR983115:QJR983118 QJR983040:QJR983041 QJR983035:QJR983037 QJR917579:QJR917582 QJR917504:QJR917505 QJR917499:QJR917501 QJR852043:QJR852046 QJR851968:QJR851969 QJR851963:QJR851965 QJR786507:QJR786510 QJR786432:QJR786433 QJR786427:QJR786429 QJR720971:QJR720974 QJR720896:QJR720897 QJR720891:QJR720893 QJR655435:QJR655438 QJR655360:QJR655361 QJR655355:QJR655357 QJR589899:QJR589902 QJR589824:QJR589825 QJR589819:QJR589821 QJR524363:QJR524366 QJR524288:QJR524289 QJR524283:QJR524285 QJR458827:QJR458830 QJR458752:QJR458753 QJR458747:QJR458749 QJR393291:QJR393294 QJR393216:QJR393217 QJR393211:QJR393213 QJR327755:QJR327758 QJR327680:QJR327681 QJR327675:QJR327677 QJR262219:QJR262222 QJR262144:QJR262145 QJR262139:QJR262141 QJR196683:QJR196686 QJR196608:QJR196609 QJR196603:QJR196605 QJR131147:QJR131150 QJR131072:QJR131073 QJR131067:QJR131069 QJR65611:QJR65614 QJR65536:QJR65537 QJR65531:QJR65533 QJR76:QJR78 PZV983115:PZV983118 PZV983040:PZV983041 PZV983035:PZV983037 PZV917579:PZV917582 PZV917504:PZV917505 PZV917499:PZV917501 PZV852043:PZV852046 PZV851968:PZV851969 PZV851963:PZV851965 PZV786507:PZV786510 PZV786432:PZV786433 PZV786427:PZV786429 PZV720971:PZV720974 PZV720896:PZV720897 PZV720891:PZV720893 PZV655435:PZV655438 PZV655360:PZV655361 PZV655355:PZV655357 PZV589899:PZV589902 PZV589824:PZV589825 PZV589819:PZV589821 PZV524363:PZV524366 PZV524288:PZV524289 PZV524283:PZV524285 PZV458827:PZV458830 PZV458752:PZV458753 PZV458747:PZV458749 PZV393291:PZV393294 PZV393216:PZV393217 PZV393211:PZV393213 PZV327755:PZV327758 PZV327680:PZV327681 PZV327675:PZV327677 PZV262219:PZV262222 PZV262144:PZV262145 PZV262139:PZV262141 PZV196683:PZV196686 PZV196608:PZV196609 PZV196603:PZV196605 PZV131147:PZV131150 PZV131072:PZV131073 PZV131067:PZV131069 PZV65611:PZV65614 PZV65536:PZV65537 PZV65531:PZV65533 PZV76:PZV78 PPZ983115:PPZ983118 PPZ983040:PPZ983041 PPZ983035:PPZ983037 PPZ917579:PPZ917582 PPZ917504:PPZ917505 PPZ917499:PPZ917501 PPZ852043:PPZ852046 PPZ851968:PPZ851969 PPZ851963:PPZ851965 PPZ786507:PPZ786510 PPZ786432:PPZ786433 PPZ786427:PPZ786429 PPZ720971:PPZ720974 PPZ720896:PPZ720897 PPZ720891:PPZ720893 PPZ655435:PPZ655438 PPZ655360:PPZ655361 PPZ655355:PPZ655357 PPZ589899:PPZ589902 PPZ589824:PPZ589825 PPZ589819:PPZ589821 PPZ524363:PPZ524366 PPZ524288:PPZ524289 PPZ524283:PPZ524285 PPZ458827:PPZ458830 PPZ458752:PPZ458753 PPZ458747:PPZ458749 PPZ393291:PPZ393294 PPZ393216:PPZ393217 PPZ393211:PPZ393213 PPZ327755:PPZ327758 PPZ327680:PPZ327681 PPZ327675:PPZ327677 PPZ262219:PPZ262222 PPZ262144:PPZ262145 PPZ262139:PPZ262141 PPZ196683:PPZ196686 PPZ196608:PPZ196609 PPZ196603:PPZ196605 PPZ131147:PPZ131150 PPZ131072:PPZ131073 PPZ131067:PPZ131069 PPZ65611:PPZ65614 PPZ65536:PPZ65537 PPZ65531:PPZ65533 PPZ76:PPZ78 PGD983115:PGD983118 PGD983040:PGD983041 PGD983035:PGD983037 PGD917579:PGD917582 PGD917504:PGD917505 PGD917499:PGD917501 PGD852043:PGD852046 PGD851968:PGD851969 PGD851963:PGD851965 PGD786507:PGD786510 PGD786432:PGD786433 PGD786427:PGD786429 PGD720971:PGD720974 PGD720896:PGD720897 PGD720891:PGD720893 PGD655435:PGD655438 PGD655360:PGD655361 PGD655355:PGD655357 PGD589899:PGD589902 PGD589824:PGD589825 PGD589819:PGD589821 PGD524363:PGD524366 PGD524288:PGD524289 PGD524283:PGD524285 PGD458827:PGD458830 PGD458752:PGD458753 PGD458747:PGD458749 PGD393291:PGD393294 PGD393216:PGD393217 PGD393211:PGD393213 PGD327755:PGD327758 PGD327680:PGD327681 PGD327675:PGD327677 PGD262219:PGD262222 PGD262144:PGD262145 PGD262139:PGD262141 PGD196683:PGD196686 PGD196608:PGD196609 PGD196603:PGD196605 PGD131147:PGD131150 PGD131072:PGD131073 PGD131067:PGD131069 PGD65611:PGD65614 PGD65536:PGD65537 PGD65531:PGD65533 PGD76:PGD78 OWH983115:OWH983118 OWH983040:OWH983041 OWH983035:OWH983037 OWH917579:OWH917582 OWH917504:OWH917505 OWH917499:OWH917501 OWH852043:OWH852046 OWH851968:OWH851969 OWH851963:OWH851965 OWH786507:OWH786510 OWH786432:OWH786433 OWH786427:OWH786429 OWH720971:OWH720974 OWH720896:OWH720897 OWH720891:OWH720893 OWH655435:OWH655438 OWH655360:OWH655361 OWH655355:OWH655357 OWH589899:OWH589902 OWH589824:OWH589825 OWH589819:OWH589821 OWH524363:OWH524366 OWH524288:OWH524289 OWH524283:OWH524285 OWH458827:OWH458830 OWH458752:OWH458753 OWH458747:OWH458749 OWH393291:OWH393294 OWH393216:OWH393217 OWH393211:OWH393213 OWH327755:OWH327758 OWH327680:OWH327681 OWH327675:OWH327677 OWH262219:OWH262222 OWH262144:OWH262145 OWH262139:OWH262141 OWH196683:OWH196686 OWH196608:OWH196609 OWH196603:OWH196605 OWH131147:OWH131150 OWH131072:OWH131073 OWH131067:OWH131069 OWH65611:OWH65614 OWH65536:OWH65537 OWH65531:OWH65533 OWH76:OWH78 OML983115:OML983118 OML983040:OML983041 OML983035:OML983037 OML917579:OML917582 OML917504:OML917505 OML917499:OML917501 OML852043:OML852046 OML851968:OML851969 OML851963:OML851965 OML786507:OML786510 OML786432:OML786433 OML786427:OML786429 OML720971:OML720974 OML720896:OML720897 OML720891:OML720893 OML655435:OML655438 OML655360:OML655361 OML655355:OML655357 OML589899:OML589902 OML589824:OML589825 OML589819:OML589821 OML524363:OML524366 OML524288:OML524289 OML524283:OML524285 OML458827:OML458830 OML458752:OML458753 OML458747:OML458749 OML393291:OML393294 OML393216:OML393217 OML393211:OML393213 OML327755:OML327758 OML327680:OML327681 OML327675:OML327677 OML262219:OML262222 OML262144:OML262145 OML262139:OML262141 OML196683:OML196686 OML196608:OML196609 OML196603:OML196605 OML131147:OML131150 OML131072:OML131073 OML131067:OML131069 OML65611:OML65614 OML65536:OML65537 OML65531:OML65533 OML76:OML78 OCP983115:OCP983118 OCP983040:OCP983041 OCP983035:OCP983037 OCP917579:OCP917582 OCP917504:OCP917505 OCP917499:OCP917501 OCP852043:OCP852046 OCP851968:OCP851969 OCP851963:OCP851965 OCP786507:OCP786510 OCP786432:OCP786433 OCP786427:OCP786429 OCP720971:OCP720974 OCP720896:OCP720897 OCP720891:OCP720893 OCP655435:OCP655438 OCP655360:OCP655361 OCP655355:OCP655357 OCP589899:OCP589902 OCP589824:OCP589825 OCP589819:OCP589821 OCP524363:OCP524366 OCP524288:OCP524289 OCP524283:OCP524285 OCP458827:OCP458830 OCP458752:OCP458753 OCP458747:OCP458749 OCP393291:OCP393294 OCP393216:OCP393217 OCP393211:OCP393213 OCP327755:OCP327758 OCP327680:OCP327681 OCP327675:OCP327677 OCP262219:OCP262222 OCP262144:OCP262145 OCP262139:OCP262141 OCP196683:OCP196686 OCP196608:OCP196609 OCP196603:OCP196605 OCP131147:OCP131150 OCP131072:OCP131073 OCP131067:OCP131069 OCP65611:OCP65614 OCP65536:OCP65537 OCP65531:OCP65533 OCP76:OCP78 NST983115:NST983118 NST983040:NST983041 NST983035:NST983037 NST917579:NST917582 NST917504:NST917505 NST917499:NST917501 NST852043:NST852046 NST851968:NST851969 NST851963:NST851965 NST786507:NST786510 NST786432:NST786433 NST786427:NST786429 NST720971:NST720974 NST720896:NST720897 NST720891:NST720893 NST655435:NST655438 NST655360:NST655361 NST655355:NST655357 NST589899:NST589902 NST589824:NST589825 NST589819:NST589821 NST524363:NST524366 NST524288:NST524289 NST524283:NST524285 NST458827:NST458830 NST458752:NST458753 NST458747:NST458749 NST393291:NST393294 NST393216:NST393217 NST393211:NST393213 NST327755:NST327758 NST327680:NST327681 NST327675:NST327677 NST262219:NST262222 NST262144:NST262145 NST262139:NST262141 NST196683:NST196686 NST196608:NST196609 NST196603:NST196605 NST131147:NST131150 NST131072:NST131073 NST131067:NST131069 NST65611:NST65614 NST65536:NST65537 NST65531:NST65533 NST76:NST78 NIX983115:NIX983118 NIX983040:NIX983041 NIX983035:NIX983037 NIX917579:NIX917582 NIX917504:NIX917505 NIX917499:NIX917501 NIX852043:NIX852046 NIX851968:NIX851969 NIX851963:NIX851965 NIX786507:NIX786510 NIX786432:NIX786433 NIX786427:NIX786429 NIX720971:NIX720974 NIX720896:NIX720897 NIX720891:NIX720893 NIX655435:NIX655438 NIX655360:NIX655361 NIX655355:NIX655357 NIX589899:NIX589902 NIX589824:NIX589825 NIX589819:NIX589821 NIX524363:NIX524366 NIX524288:NIX524289 NIX524283:NIX524285 NIX458827:NIX458830 NIX458752:NIX458753 NIX458747:NIX458749 NIX393291:NIX393294 NIX393216:NIX393217 NIX393211:NIX393213 NIX327755:NIX327758 NIX327680:NIX327681 NIX327675:NIX327677 NIX262219:NIX262222 NIX262144:NIX262145 NIX262139:NIX262141 NIX196683:NIX196686 NIX196608:NIX196609 NIX196603:NIX196605 NIX131147:NIX131150 NIX131072:NIX131073 NIX131067:NIX131069 NIX65611:NIX65614 NIX65536:NIX65537 NIX65531:NIX65533 NIX76:NIX78 MZB983115:MZB983118 MZB983040:MZB983041 MZB983035:MZB983037 MZB917579:MZB917582 MZB917504:MZB917505 MZB917499:MZB917501 MZB852043:MZB852046 MZB851968:MZB851969 MZB851963:MZB851965 MZB786507:MZB786510 MZB786432:MZB786433 MZB786427:MZB786429 MZB720971:MZB720974 MZB720896:MZB720897 MZB720891:MZB720893 MZB655435:MZB655438 MZB655360:MZB655361 MZB655355:MZB655357 MZB589899:MZB589902 MZB589824:MZB589825 MZB589819:MZB589821 MZB524363:MZB524366 MZB524288:MZB524289 MZB524283:MZB524285 MZB458827:MZB458830 MZB458752:MZB458753 MZB458747:MZB458749 MZB393291:MZB393294 MZB393216:MZB393217 MZB393211:MZB393213 MZB327755:MZB327758 MZB327680:MZB327681 MZB327675:MZB327677 MZB262219:MZB262222 MZB262144:MZB262145 MZB262139:MZB262141 MZB196683:MZB196686 MZB196608:MZB196609 MZB196603:MZB196605 MZB131147:MZB131150 MZB131072:MZB131073 MZB131067:MZB131069 MZB65611:MZB65614 MZB65536:MZB65537 MZB65531:MZB65533 MZB76:MZB78 MPF983115:MPF983118 MPF983040:MPF983041 MPF983035:MPF983037 MPF917579:MPF917582 MPF917504:MPF917505 MPF917499:MPF917501 MPF852043:MPF852046 MPF851968:MPF851969 MPF851963:MPF851965 MPF786507:MPF786510 MPF786432:MPF786433 MPF786427:MPF786429 MPF720971:MPF720974 MPF720896:MPF720897 MPF720891:MPF720893 MPF655435:MPF655438 MPF655360:MPF655361 MPF655355:MPF655357 MPF589899:MPF589902 MPF589824:MPF589825 MPF589819:MPF589821 MPF524363:MPF524366 MPF524288:MPF524289 MPF524283:MPF524285 MPF458827:MPF458830 MPF458752:MPF458753 MPF458747:MPF458749 MPF393291:MPF393294 MPF393216:MPF393217 MPF393211:MPF393213 MPF327755:MPF327758 MPF327680:MPF327681 MPF327675:MPF327677 MPF262219:MPF262222 MPF262144:MPF262145 MPF262139:MPF262141 MPF196683:MPF196686 MPF196608:MPF196609 MPF196603:MPF196605 MPF131147:MPF131150 MPF131072:MPF131073 MPF131067:MPF131069 MPF65611:MPF65614 MPF65536:MPF65537 MPF65531:MPF65533 MPF76:MPF78 MFJ983115:MFJ983118 MFJ983040:MFJ983041 MFJ983035:MFJ983037 MFJ917579:MFJ917582 MFJ917504:MFJ917505 MFJ917499:MFJ917501 MFJ852043:MFJ852046 MFJ851968:MFJ851969 MFJ851963:MFJ851965 MFJ786507:MFJ786510 MFJ786432:MFJ786433 MFJ786427:MFJ786429 MFJ720971:MFJ720974 MFJ720896:MFJ720897 MFJ720891:MFJ720893 MFJ655435:MFJ655438 MFJ655360:MFJ655361 MFJ655355:MFJ655357 MFJ589899:MFJ589902 MFJ589824:MFJ589825 MFJ589819:MFJ589821 MFJ524363:MFJ524366 MFJ524288:MFJ524289 MFJ524283:MFJ524285 MFJ458827:MFJ458830 MFJ458752:MFJ458753 MFJ458747:MFJ458749 MFJ393291:MFJ393294 MFJ393216:MFJ393217 MFJ393211:MFJ393213 MFJ327755:MFJ327758 MFJ327680:MFJ327681 MFJ327675:MFJ327677 MFJ262219:MFJ262222 MFJ262144:MFJ262145 MFJ262139:MFJ262141 MFJ196683:MFJ196686 MFJ196608:MFJ196609 MFJ196603:MFJ196605 MFJ131147:MFJ131150 MFJ131072:MFJ131073 MFJ131067:MFJ131069 MFJ65611:MFJ65614 MFJ65536:MFJ65537 MFJ65531:MFJ65533 MFJ76:MFJ78 LVN983115:LVN983118 LVN983040:LVN983041 LVN983035:LVN983037 LVN917579:LVN917582 LVN917504:LVN917505 LVN917499:LVN917501 LVN852043:LVN852046 LVN851968:LVN851969 LVN851963:LVN851965 LVN786507:LVN786510 LVN786432:LVN786433 LVN786427:LVN786429 LVN720971:LVN720974 LVN720896:LVN720897 LVN720891:LVN720893 LVN655435:LVN655438 LVN655360:LVN655361 LVN655355:LVN655357 LVN589899:LVN589902 LVN589824:LVN589825 LVN589819:LVN589821 LVN524363:LVN524366 LVN524288:LVN524289 LVN524283:LVN524285 LVN458827:LVN458830 LVN458752:LVN458753 LVN458747:LVN458749 LVN393291:LVN393294 LVN393216:LVN393217 LVN393211:LVN393213 LVN327755:LVN327758 LVN327680:LVN327681 LVN327675:LVN327677 LVN262219:LVN262222 LVN262144:LVN262145 LVN262139:LVN262141 LVN196683:LVN196686 LVN196608:LVN196609 LVN196603:LVN196605 LVN131147:LVN131150 LVN131072:LVN131073 LVN131067:LVN131069 LVN65611:LVN65614 LVN65536:LVN65537 LVN65531:LVN65533 LVN76:LVN78 LLR983115:LLR983118 LLR983040:LLR983041 LLR983035:LLR983037 LLR917579:LLR917582 LLR917504:LLR917505 LLR917499:LLR917501 LLR852043:LLR852046 LLR851968:LLR851969 LLR851963:LLR851965 LLR786507:LLR786510 LLR786432:LLR786433 LLR786427:LLR786429 LLR720971:LLR720974 LLR720896:LLR720897 LLR720891:LLR720893 LLR655435:LLR655438 LLR655360:LLR655361 LLR655355:LLR655357 LLR589899:LLR589902 LLR589824:LLR589825 LLR589819:LLR589821 LLR524363:LLR524366 LLR524288:LLR524289 LLR524283:LLR524285 LLR458827:LLR458830 LLR458752:LLR458753 LLR458747:LLR458749 LLR393291:LLR393294 LLR393216:LLR393217 LLR393211:LLR393213 LLR327755:LLR327758 LLR327680:LLR327681 LLR327675:LLR327677 LLR262219:LLR262222 LLR262144:LLR262145 LLR262139:LLR262141 LLR196683:LLR196686 LLR196608:LLR196609 LLR196603:LLR196605 LLR131147:LLR131150 LLR131072:LLR131073 LLR131067:LLR131069 LLR65611:LLR65614 LLR65536:LLR65537 LLR65531:LLR65533 LLR76:LLR78 LBV983115:LBV983118 LBV983040:LBV983041 LBV983035:LBV983037 LBV917579:LBV917582 LBV917504:LBV917505 LBV917499:LBV917501 LBV852043:LBV852046 LBV851968:LBV851969 LBV851963:LBV851965 LBV786507:LBV786510 LBV786432:LBV786433 LBV786427:LBV786429 LBV720971:LBV720974 LBV720896:LBV720897 LBV720891:LBV720893 LBV655435:LBV655438 LBV655360:LBV655361 LBV655355:LBV655357 LBV589899:LBV589902 LBV589824:LBV589825 LBV589819:LBV589821 LBV524363:LBV524366 LBV524288:LBV524289 LBV524283:LBV524285 LBV458827:LBV458830 LBV458752:LBV458753 LBV458747:LBV458749 LBV393291:LBV393294 LBV393216:LBV393217 LBV393211:LBV393213 LBV327755:LBV327758 LBV327680:LBV327681 LBV327675:LBV327677 LBV262219:LBV262222 LBV262144:LBV262145 LBV262139:LBV262141 LBV196683:LBV196686 LBV196608:LBV196609 LBV196603:LBV196605 LBV131147:LBV131150 LBV131072:LBV131073 LBV131067:LBV131069 LBV65611:LBV65614 LBV65536:LBV65537 LBV65531:LBV65533 LBV76:LBV78 KRZ983115:KRZ983118 KRZ983040:KRZ983041 KRZ983035:KRZ983037 KRZ917579:KRZ917582 KRZ917504:KRZ917505 KRZ917499:KRZ917501 KRZ852043:KRZ852046 KRZ851968:KRZ851969 KRZ851963:KRZ851965 KRZ786507:KRZ786510 KRZ786432:KRZ786433 KRZ786427:KRZ786429 KRZ720971:KRZ720974 KRZ720896:KRZ720897 KRZ720891:KRZ720893 KRZ655435:KRZ655438 KRZ655360:KRZ655361 KRZ655355:KRZ655357 KRZ589899:KRZ589902 KRZ589824:KRZ589825 KRZ589819:KRZ589821 KRZ524363:KRZ524366 KRZ524288:KRZ524289 KRZ524283:KRZ524285 KRZ458827:KRZ458830 KRZ458752:KRZ458753 KRZ458747:KRZ458749 KRZ393291:KRZ393294 KRZ393216:KRZ393217 KRZ393211:KRZ393213 KRZ327755:KRZ327758 KRZ327680:KRZ327681 KRZ327675:KRZ327677 KRZ262219:KRZ262222 KRZ262144:KRZ262145 KRZ262139:KRZ262141 KRZ196683:KRZ196686 KRZ196608:KRZ196609 KRZ196603:KRZ196605 KRZ131147:KRZ131150 KRZ131072:KRZ131073 KRZ131067:KRZ131069 KRZ65611:KRZ65614 KRZ65536:KRZ65537 KRZ65531:KRZ65533 KRZ76:KRZ78 KID983115:KID983118 KID983040:KID983041 KID983035:KID983037 KID917579:KID917582 KID917504:KID917505 KID917499:KID917501 KID852043:KID852046 KID851968:KID851969 KID851963:KID851965 KID786507:KID786510 KID786432:KID786433 KID786427:KID786429 KID720971:KID720974 KID720896:KID720897 KID720891:KID720893 KID655435:KID655438 KID655360:KID655361 KID655355:KID655357 KID589899:KID589902 KID589824:KID589825 KID589819:KID589821 KID524363:KID524366 KID524288:KID524289 KID524283:KID524285 KID458827:KID458830 KID458752:KID458753 KID458747:KID458749 KID393291:KID393294 KID393216:KID393217 KID393211:KID393213 KID327755:KID327758 KID327680:KID327681 KID327675:KID327677 KID262219:KID262222 KID262144:KID262145 KID262139:KID262141 KID196683:KID196686 KID196608:KID196609 KID196603:KID196605 KID131147:KID131150 KID131072:KID131073 KID131067:KID131069 KID65611:KID65614 KID65536:KID65537 KID65531:KID65533 KID76:KID78 JYH983115:JYH983118 JYH983040:JYH983041 JYH983035:JYH983037 JYH917579:JYH917582 JYH917504:JYH917505 JYH917499:JYH917501 JYH852043:JYH852046 JYH851968:JYH851969 JYH851963:JYH851965 JYH786507:JYH786510 JYH786432:JYH786433 JYH786427:JYH786429 JYH720971:JYH720974 JYH720896:JYH720897 JYH720891:JYH720893 JYH655435:JYH655438 JYH655360:JYH655361 JYH655355:JYH655357 JYH589899:JYH589902 JYH589824:JYH589825 JYH589819:JYH589821 JYH524363:JYH524366 JYH524288:JYH524289 JYH524283:JYH524285 JYH458827:JYH458830 JYH458752:JYH458753 JYH458747:JYH458749 JYH393291:JYH393294 JYH393216:JYH393217 JYH393211:JYH393213 JYH327755:JYH327758 JYH327680:JYH327681 JYH327675:JYH327677 JYH262219:JYH262222 JYH262144:JYH262145 JYH262139:JYH262141 JYH196683:JYH196686 JYH196608:JYH196609 JYH196603:JYH196605 JYH131147:JYH131150 JYH131072:JYH131073 JYH131067:JYH131069 JYH65611:JYH65614 JYH65536:JYH65537 JYH65531:JYH65533 JYH76:JYH78 JOL983115:JOL983118 JOL983040:JOL983041 JOL983035:JOL983037 JOL917579:JOL917582 JOL917504:JOL917505 JOL917499:JOL917501 JOL852043:JOL852046 JOL851968:JOL851969 JOL851963:JOL851965 JOL786507:JOL786510 JOL786432:JOL786433 JOL786427:JOL786429 JOL720971:JOL720974 JOL720896:JOL720897 JOL720891:JOL720893 JOL655435:JOL655438 JOL655360:JOL655361 JOL655355:JOL655357 JOL589899:JOL589902 JOL589824:JOL589825 JOL589819:JOL589821 JOL524363:JOL524366 JOL524288:JOL524289 JOL524283:JOL524285 JOL458827:JOL458830 JOL458752:JOL458753 JOL458747:JOL458749 JOL393291:JOL393294 JOL393216:JOL393217 JOL393211:JOL393213 JOL327755:JOL327758 JOL327680:JOL327681 JOL327675:JOL327677 JOL262219:JOL262222 JOL262144:JOL262145 JOL262139:JOL262141 JOL196683:JOL196686 JOL196608:JOL196609 JOL196603:JOL196605 JOL131147:JOL131150 JOL131072:JOL131073 JOL131067:JOL131069 JOL65611:JOL65614 JOL65536:JOL65537 JOL65531:JOL65533 JOL76:JOL78 JEP983115:JEP983118 JEP983040:JEP983041 JEP983035:JEP983037 JEP917579:JEP917582 JEP917504:JEP917505 JEP917499:JEP917501 JEP852043:JEP852046 JEP851968:JEP851969 JEP851963:JEP851965 JEP786507:JEP786510 JEP786432:JEP786433 JEP786427:JEP786429 JEP720971:JEP720974 JEP720896:JEP720897 JEP720891:JEP720893 JEP655435:JEP655438 JEP655360:JEP655361 JEP655355:JEP655357 JEP589899:JEP589902 JEP589824:JEP589825 JEP589819:JEP589821 JEP524363:JEP524366 JEP524288:JEP524289 JEP524283:JEP524285 JEP458827:JEP458830 JEP458752:JEP458753 JEP458747:JEP458749 JEP393291:JEP393294 JEP393216:JEP393217 JEP393211:JEP393213 JEP327755:JEP327758 JEP327680:JEP327681 JEP327675:JEP327677 JEP262219:JEP262222 JEP262144:JEP262145 JEP262139:JEP262141 JEP196683:JEP196686 JEP196608:JEP196609 JEP196603:JEP196605 JEP131147:JEP131150 JEP131072:JEP131073 JEP131067:JEP131069 JEP65611:JEP65614 JEP65536:JEP65537 JEP65531:JEP65533 JEP76:JEP78 IUT983115:IUT983118 IUT983040:IUT983041 IUT983035:IUT983037 IUT917579:IUT917582 IUT917504:IUT917505 IUT917499:IUT917501 IUT852043:IUT852046 IUT851968:IUT851969 IUT851963:IUT851965 IUT786507:IUT786510 IUT786432:IUT786433 IUT786427:IUT786429 IUT720971:IUT720974 IUT720896:IUT720897 IUT720891:IUT720893 IUT655435:IUT655438 IUT655360:IUT655361 IUT655355:IUT655357 IUT589899:IUT589902 IUT589824:IUT589825 IUT589819:IUT589821 IUT524363:IUT524366 IUT524288:IUT524289 IUT524283:IUT524285 IUT458827:IUT458830 IUT458752:IUT458753 IUT458747:IUT458749 IUT393291:IUT393294 IUT393216:IUT393217 IUT393211:IUT393213 IUT327755:IUT327758 IUT327680:IUT327681 IUT327675:IUT327677 IUT262219:IUT262222 IUT262144:IUT262145 IUT262139:IUT262141 IUT196683:IUT196686 IUT196608:IUT196609 IUT196603:IUT196605 IUT131147:IUT131150 IUT131072:IUT131073 IUT131067:IUT131069 IUT65611:IUT65614 IUT65536:IUT65537 IUT65531:IUT65533 IUT76:IUT78 IKX983115:IKX983118 IKX983040:IKX983041 IKX983035:IKX983037 IKX917579:IKX917582 IKX917504:IKX917505 IKX917499:IKX917501 IKX852043:IKX852046 IKX851968:IKX851969 IKX851963:IKX851965 IKX786507:IKX786510 IKX786432:IKX786433 IKX786427:IKX786429 IKX720971:IKX720974 IKX720896:IKX720897 IKX720891:IKX720893 IKX655435:IKX655438 IKX655360:IKX655361 IKX655355:IKX655357 IKX589899:IKX589902 IKX589824:IKX589825 IKX589819:IKX589821 IKX524363:IKX524366 IKX524288:IKX524289 IKX524283:IKX524285 IKX458827:IKX458830 IKX458752:IKX458753 IKX458747:IKX458749 IKX393291:IKX393294 IKX393216:IKX393217 IKX393211:IKX393213 IKX327755:IKX327758 IKX327680:IKX327681 IKX327675:IKX327677 IKX262219:IKX262222 IKX262144:IKX262145 IKX262139:IKX262141 IKX196683:IKX196686 IKX196608:IKX196609 IKX196603:IKX196605 IKX131147:IKX131150 IKX131072:IKX131073 IKX131067:IKX131069 IKX65611:IKX65614 IKX65536:IKX65537 IKX65531:IKX65533 IKX76:IKX78 IBB983115:IBB983118 IBB983040:IBB983041 IBB983035:IBB983037 IBB917579:IBB917582 IBB917504:IBB917505 IBB917499:IBB917501 IBB852043:IBB852046 IBB851968:IBB851969 IBB851963:IBB851965 IBB786507:IBB786510 IBB786432:IBB786433 IBB786427:IBB786429 IBB720971:IBB720974 IBB720896:IBB720897 IBB720891:IBB720893 IBB655435:IBB655438 IBB655360:IBB655361 IBB655355:IBB655357 IBB589899:IBB589902 IBB589824:IBB589825 IBB589819:IBB589821 IBB524363:IBB524366 IBB524288:IBB524289 IBB524283:IBB524285 IBB458827:IBB458830 IBB458752:IBB458753 IBB458747:IBB458749 IBB393291:IBB393294 IBB393216:IBB393217 IBB393211:IBB393213 IBB327755:IBB327758 IBB327680:IBB327681 IBB327675:IBB327677 IBB262219:IBB262222 IBB262144:IBB262145 IBB262139:IBB262141 IBB196683:IBB196686 IBB196608:IBB196609 IBB196603:IBB196605 IBB131147:IBB131150 IBB131072:IBB131073 IBB131067:IBB131069 IBB65611:IBB65614 IBB65536:IBB65537 IBB65531:IBB65533 IBB76:IBB78 HRF983115:HRF983118 HRF983040:HRF983041 HRF983035:HRF983037 HRF917579:HRF917582 HRF917504:HRF917505 HRF917499:HRF917501 HRF852043:HRF852046 HRF851968:HRF851969 HRF851963:HRF851965 HRF786507:HRF786510 HRF786432:HRF786433 HRF786427:HRF786429 HRF720971:HRF720974 HRF720896:HRF720897 HRF720891:HRF720893 HRF655435:HRF655438 HRF655360:HRF655361 HRF655355:HRF655357 HRF589899:HRF589902 HRF589824:HRF589825 HRF589819:HRF589821 HRF524363:HRF524366 HRF524288:HRF524289 HRF524283:HRF524285 HRF458827:HRF458830 HRF458752:HRF458753 HRF458747:HRF458749 HRF393291:HRF393294 HRF393216:HRF393217 HRF393211:HRF393213 HRF327755:HRF327758 HRF327680:HRF327681 HRF327675:HRF327677 HRF262219:HRF262222 HRF262144:HRF262145 HRF262139:HRF262141 HRF196683:HRF196686 HRF196608:HRF196609 HRF196603:HRF196605 HRF131147:HRF131150 HRF131072:HRF131073 HRF131067:HRF131069 HRF65611:HRF65614 HRF65536:HRF65537 HRF65531:HRF65533 HRF76:HRF78 HHJ983115:HHJ983118 HHJ983040:HHJ983041 HHJ983035:HHJ983037 HHJ917579:HHJ917582 HHJ917504:HHJ917505 HHJ917499:HHJ917501 HHJ852043:HHJ852046 HHJ851968:HHJ851969 HHJ851963:HHJ851965 HHJ786507:HHJ786510 HHJ786432:HHJ786433 HHJ786427:HHJ786429 HHJ720971:HHJ720974 HHJ720896:HHJ720897 HHJ720891:HHJ720893 HHJ655435:HHJ655438 HHJ655360:HHJ655361 HHJ655355:HHJ655357 HHJ589899:HHJ589902 HHJ589824:HHJ589825 HHJ589819:HHJ589821 HHJ524363:HHJ524366 HHJ524288:HHJ524289 HHJ524283:HHJ524285 HHJ458827:HHJ458830 HHJ458752:HHJ458753 HHJ458747:HHJ458749 HHJ393291:HHJ393294 HHJ393216:HHJ393217 HHJ393211:HHJ393213 HHJ327755:HHJ327758 HHJ327680:HHJ327681 HHJ327675:HHJ327677 HHJ262219:HHJ262222 HHJ262144:HHJ262145 HHJ262139:HHJ262141 HHJ196683:HHJ196686 HHJ196608:HHJ196609 HHJ196603:HHJ196605 HHJ131147:HHJ131150 HHJ131072:HHJ131073 HHJ131067:HHJ131069 HHJ65611:HHJ65614 HHJ65536:HHJ65537 HHJ65531:HHJ65533 HHJ76:HHJ78 GXN983115:GXN983118 GXN983040:GXN983041 GXN983035:GXN983037 GXN917579:GXN917582 GXN917504:GXN917505 GXN917499:GXN917501 GXN852043:GXN852046 GXN851968:GXN851969 GXN851963:GXN851965 GXN786507:GXN786510 GXN786432:GXN786433 GXN786427:GXN786429 GXN720971:GXN720974 GXN720896:GXN720897 GXN720891:GXN720893 GXN655435:GXN655438 GXN655360:GXN655361 GXN655355:GXN655357 GXN589899:GXN589902 GXN589824:GXN589825 GXN589819:GXN589821 GXN524363:GXN524366 GXN524288:GXN524289 GXN524283:GXN524285 GXN458827:GXN458830 GXN458752:GXN458753 GXN458747:GXN458749 GXN393291:GXN393294 GXN393216:GXN393217 GXN393211:GXN393213 GXN327755:GXN327758 GXN327680:GXN327681 GXN327675:GXN327677 GXN262219:GXN262222 GXN262144:GXN262145 GXN262139:GXN262141 GXN196683:GXN196686 GXN196608:GXN196609 GXN196603:GXN196605 GXN131147:GXN131150 GXN131072:GXN131073 GXN131067:GXN131069 GXN65611:GXN65614 GXN65536:GXN65537 GXN65531:GXN65533 GXN76:GXN78 GNR983115:GNR983118 GNR983040:GNR983041 GNR983035:GNR983037 GNR917579:GNR917582 GNR917504:GNR917505 GNR917499:GNR917501 GNR852043:GNR852046 GNR851968:GNR851969 GNR851963:GNR851965 GNR786507:GNR786510 GNR786432:GNR786433 GNR786427:GNR786429 GNR720971:GNR720974 GNR720896:GNR720897 GNR720891:GNR720893 GNR655435:GNR655438 GNR655360:GNR655361 GNR655355:GNR655357 GNR589899:GNR589902 GNR589824:GNR589825 GNR589819:GNR589821 GNR524363:GNR524366 GNR524288:GNR524289 GNR524283:GNR524285 GNR458827:GNR458830 GNR458752:GNR458753 GNR458747:GNR458749 GNR393291:GNR393294 GNR393216:GNR393217 GNR393211:GNR393213 GNR327755:GNR327758 GNR327680:GNR327681 GNR327675:GNR327677 GNR262219:GNR262222 GNR262144:GNR262145 GNR262139:GNR262141 GNR196683:GNR196686 GNR196608:GNR196609 GNR196603:GNR196605 GNR131147:GNR131150 GNR131072:GNR131073 GNR131067:GNR131069 GNR65611:GNR65614 GNR65536:GNR65537 GNR65531:GNR65533 GNR76:GNR78 GDV983115:GDV983118 GDV983040:GDV983041 GDV983035:GDV983037 GDV917579:GDV917582 GDV917504:GDV917505 GDV917499:GDV917501 GDV852043:GDV852046 GDV851968:GDV851969 GDV851963:GDV851965 GDV786507:GDV786510 GDV786432:GDV786433 GDV786427:GDV786429 GDV720971:GDV720974 GDV720896:GDV720897 GDV720891:GDV720893 GDV655435:GDV655438 GDV655360:GDV655361 GDV655355:GDV655357 GDV589899:GDV589902 GDV589824:GDV589825 GDV589819:GDV589821 GDV524363:GDV524366 GDV524288:GDV524289 GDV524283:GDV524285 GDV458827:GDV458830 GDV458752:GDV458753 GDV458747:GDV458749 GDV393291:GDV393294 GDV393216:GDV393217 GDV393211:GDV393213 GDV327755:GDV327758 GDV327680:GDV327681 GDV327675:GDV327677 GDV262219:GDV262222 GDV262144:GDV262145 GDV262139:GDV262141 GDV196683:GDV196686 GDV196608:GDV196609 GDV196603:GDV196605 GDV131147:GDV131150 GDV131072:GDV131073 GDV131067:GDV131069 GDV65611:GDV65614 GDV65536:GDV65537 GDV65531:GDV65533 GDV76:GDV78 FTZ983115:FTZ983118 FTZ983040:FTZ983041 FTZ983035:FTZ983037 FTZ917579:FTZ917582 FTZ917504:FTZ917505 FTZ917499:FTZ917501 FTZ852043:FTZ852046 FTZ851968:FTZ851969 FTZ851963:FTZ851965 FTZ786507:FTZ786510 FTZ786432:FTZ786433 FTZ786427:FTZ786429 FTZ720971:FTZ720974 FTZ720896:FTZ720897 FTZ720891:FTZ720893 FTZ655435:FTZ655438 FTZ655360:FTZ655361 FTZ655355:FTZ655357 FTZ589899:FTZ589902 FTZ589824:FTZ589825 FTZ589819:FTZ589821 FTZ524363:FTZ524366 FTZ524288:FTZ524289 FTZ524283:FTZ524285 FTZ458827:FTZ458830 FTZ458752:FTZ458753 FTZ458747:FTZ458749 FTZ393291:FTZ393294 FTZ393216:FTZ393217 FTZ393211:FTZ393213 FTZ327755:FTZ327758 FTZ327680:FTZ327681 FTZ327675:FTZ327677 FTZ262219:FTZ262222 FTZ262144:FTZ262145 FTZ262139:FTZ262141 FTZ196683:FTZ196686 FTZ196608:FTZ196609 FTZ196603:FTZ196605 FTZ131147:FTZ131150 FTZ131072:FTZ131073 FTZ131067:FTZ131069 FTZ65611:FTZ65614 FTZ65536:FTZ65537 FTZ65531:FTZ65533 FTZ76:FTZ78 FKD983115:FKD983118 FKD983040:FKD983041 FKD983035:FKD983037 FKD917579:FKD917582 FKD917504:FKD917505 FKD917499:FKD917501 FKD852043:FKD852046 FKD851968:FKD851969 FKD851963:FKD851965 FKD786507:FKD786510 FKD786432:FKD786433 FKD786427:FKD786429 FKD720971:FKD720974 FKD720896:FKD720897 FKD720891:FKD720893 FKD655435:FKD655438 FKD655360:FKD655361 FKD655355:FKD655357 FKD589899:FKD589902 FKD589824:FKD589825 FKD589819:FKD589821 FKD524363:FKD524366 FKD524288:FKD524289 FKD524283:FKD524285 FKD458827:FKD458830 FKD458752:FKD458753 FKD458747:FKD458749 FKD393291:FKD393294 FKD393216:FKD393217 FKD393211:FKD393213 FKD327755:FKD327758 FKD327680:FKD327681 FKD327675:FKD327677 FKD262219:FKD262222 FKD262144:FKD262145 FKD262139:FKD262141 FKD196683:FKD196686 FKD196608:FKD196609 FKD196603:FKD196605 FKD131147:FKD131150 FKD131072:FKD131073 FKD131067:FKD131069 FKD65611:FKD65614 FKD65536:FKD65537 FKD65531:FKD65533 FKD76:FKD78 FAH983115:FAH983118 FAH983040:FAH983041 FAH983035:FAH983037 FAH917579:FAH917582 FAH917504:FAH917505 FAH917499:FAH917501 FAH852043:FAH852046 FAH851968:FAH851969 FAH851963:FAH851965 FAH786507:FAH786510 FAH786432:FAH786433 FAH786427:FAH786429 FAH720971:FAH720974 FAH720896:FAH720897 FAH720891:FAH720893 FAH655435:FAH655438 FAH655360:FAH655361 FAH655355:FAH655357 FAH589899:FAH589902 FAH589824:FAH589825 FAH589819:FAH589821 FAH524363:FAH524366 FAH524288:FAH524289 FAH524283:FAH524285 FAH458827:FAH458830 FAH458752:FAH458753 FAH458747:FAH458749 FAH393291:FAH393294 FAH393216:FAH393217 FAH393211:FAH393213 FAH327755:FAH327758 FAH327680:FAH327681 FAH327675:FAH327677 FAH262219:FAH262222 FAH262144:FAH262145 FAH262139:FAH262141 FAH196683:FAH196686 FAH196608:FAH196609 FAH196603:FAH196605 FAH131147:FAH131150 FAH131072:FAH131073 FAH131067:FAH131069 FAH65611:FAH65614 FAH65536:FAH65537 FAH65531:FAH65533 FAH76:FAH78 EQL983115:EQL983118 EQL983040:EQL983041 EQL983035:EQL983037 EQL917579:EQL917582 EQL917504:EQL917505 EQL917499:EQL917501 EQL852043:EQL852046 EQL851968:EQL851969 EQL851963:EQL851965 EQL786507:EQL786510 EQL786432:EQL786433 EQL786427:EQL786429 EQL720971:EQL720974 EQL720896:EQL720897 EQL720891:EQL720893 EQL655435:EQL655438 EQL655360:EQL655361 EQL655355:EQL655357 EQL589899:EQL589902 EQL589824:EQL589825 EQL589819:EQL589821 EQL524363:EQL524366 EQL524288:EQL524289 EQL524283:EQL524285 EQL458827:EQL458830 EQL458752:EQL458753 EQL458747:EQL458749 EQL393291:EQL393294 EQL393216:EQL393217 EQL393211:EQL393213 EQL327755:EQL327758 EQL327680:EQL327681 EQL327675:EQL327677 EQL262219:EQL262222 EQL262144:EQL262145 EQL262139:EQL262141 EQL196683:EQL196686 EQL196608:EQL196609 EQL196603:EQL196605 EQL131147:EQL131150 EQL131072:EQL131073 EQL131067:EQL131069 EQL65611:EQL65614 EQL65536:EQL65537 EQL65531:EQL65533 EQL76:EQL78 EGP983115:EGP983118 EGP983040:EGP983041 EGP983035:EGP983037 EGP917579:EGP917582 EGP917504:EGP917505 EGP917499:EGP917501 EGP852043:EGP852046 EGP851968:EGP851969 EGP851963:EGP851965 EGP786507:EGP786510 EGP786432:EGP786433 EGP786427:EGP786429 EGP720971:EGP720974 EGP720896:EGP720897 EGP720891:EGP720893 EGP655435:EGP655438 EGP655360:EGP655361 EGP655355:EGP655357 EGP589899:EGP589902 EGP589824:EGP589825 EGP589819:EGP589821 EGP524363:EGP524366 EGP524288:EGP524289 EGP524283:EGP524285 EGP458827:EGP458830 EGP458752:EGP458753 EGP458747:EGP458749 EGP393291:EGP393294 EGP393216:EGP393217 EGP393211:EGP393213 EGP327755:EGP327758 EGP327680:EGP327681 EGP327675:EGP327677 EGP262219:EGP262222 EGP262144:EGP262145 EGP262139:EGP262141 EGP196683:EGP196686 EGP196608:EGP196609 EGP196603:EGP196605 EGP131147:EGP131150 EGP131072:EGP131073 EGP131067:EGP131069 EGP65611:EGP65614 EGP65536:EGP65537 EGP65531:EGP65533 EGP76:EGP78 DWT983115:DWT983118 DWT983040:DWT983041 DWT983035:DWT983037 DWT917579:DWT917582 DWT917504:DWT917505 DWT917499:DWT917501 DWT852043:DWT852046 DWT851968:DWT851969 DWT851963:DWT851965 DWT786507:DWT786510 DWT786432:DWT786433 DWT786427:DWT786429 DWT720971:DWT720974 DWT720896:DWT720897 DWT720891:DWT720893 DWT655435:DWT655438 DWT655360:DWT655361 DWT655355:DWT655357 DWT589899:DWT589902 DWT589824:DWT589825 DWT589819:DWT589821 DWT524363:DWT524366 DWT524288:DWT524289 DWT524283:DWT524285 DWT458827:DWT458830 DWT458752:DWT458753 DWT458747:DWT458749 DWT393291:DWT393294 DWT393216:DWT393217 DWT393211:DWT393213 DWT327755:DWT327758 DWT327680:DWT327681 DWT327675:DWT327677 DWT262219:DWT262222 DWT262144:DWT262145 DWT262139:DWT262141 DWT196683:DWT196686 DWT196608:DWT196609 DWT196603:DWT196605 DWT131147:DWT131150 DWT131072:DWT131073 DWT131067:DWT131069 DWT65611:DWT65614 DWT65536:DWT65537 DWT65531:DWT65533 DWT76:DWT78 DMX983115:DMX983118 DMX983040:DMX983041 DMX983035:DMX983037 DMX917579:DMX917582 DMX917504:DMX917505 DMX917499:DMX917501 DMX852043:DMX852046 DMX851968:DMX851969 DMX851963:DMX851965 DMX786507:DMX786510 DMX786432:DMX786433 DMX786427:DMX786429 DMX720971:DMX720974 DMX720896:DMX720897 DMX720891:DMX720893 DMX655435:DMX655438 DMX655360:DMX655361 DMX655355:DMX655357 DMX589899:DMX589902 DMX589824:DMX589825 DMX589819:DMX589821 DMX524363:DMX524366 DMX524288:DMX524289 DMX524283:DMX524285 DMX458827:DMX458830 DMX458752:DMX458753 DMX458747:DMX458749 DMX393291:DMX393294 DMX393216:DMX393217 DMX393211:DMX393213 DMX327755:DMX327758 DMX327680:DMX327681 DMX327675:DMX327677 DMX262219:DMX262222 DMX262144:DMX262145 DMX262139:DMX262141 DMX196683:DMX196686 DMX196608:DMX196609 DMX196603:DMX196605 DMX131147:DMX131150 DMX131072:DMX131073 DMX131067:DMX131069 DMX65611:DMX65614 DMX65536:DMX65537 DMX65531:DMX65533 DMX76:DMX78 DDB983115:DDB983118 DDB983040:DDB983041 DDB983035:DDB983037 DDB917579:DDB917582 DDB917504:DDB917505 DDB917499:DDB917501 DDB852043:DDB852046 DDB851968:DDB851969 DDB851963:DDB851965 DDB786507:DDB786510 DDB786432:DDB786433 DDB786427:DDB786429 DDB720971:DDB720974 DDB720896:DDB720897 DDB720891:DDB720893 DDB655435:DDB655438 DDB655360:DDB655361 DDB655355:DDB655357 DDB589899:DDB589902 DDB589824:DDB589825 DDB589819:DDB589821 DDB524363:DDB524366 DDB524288:DDB524289 DDB524283:DDB524285 DDB458827:DDB458830 DDB458752:DDB458753 DDB458747:DDB458749 DDB393291:DDB393294 DDB393216:DDB393217 DDB393211:DDB393213 DDB327755:DDB327758 DDB327680:DDB327681 DDB327675:DDB327677 DDB262219:DDB262222 DDB262144:DDB262145 DDB262139:DDB262141 DDB196683:DDB196686 DDB196608:DDB196609 DDB196603:DDB196605 DDB131147:DDB131150 DDB131072:DDB131073 DDB131067:DDB131069 DDB65611:DDB65614 DDB65536:DDB65537 DDB65531:DDB65533 DDB76:DDB78 CTF983115:CTF983118 CTF983040:CTF983041 CTF983035:CTF983037 CTF917579:CTF917582 CTF917504:CTF917505 CTF917499:CTF917501 CTF852043:CTF852046 CTF851968:CTF851969 CTF851963:CTF851965 CTF786507:CTF786510 CTF786432:CTF786433 CTF786427:CTF786429 CTF720971:CTF720974 CTF720896:CTF720897 CTF720891:CTF720893 CTF655435:CTF655438 CTF655360:CTF655361 CTF655355:CTF655357 CTF589899:CTF589902 CTF589824:CTF589825 CTF589819:CTF589821 CTF524363:CTF524366 CTF524288:CTF524289 CTF524283:CTF524285 CTF458827:CTF458830 CTF458752:CTF458753 CTF458747:CTF458749 CTF393291:CTF393294 CTF393216:CTF393217 CTF393211:CTF393213 CTF327755:CTF327758 CTF327680:CTF327681 CTF327675:CTF327677 CTF262219:CTF262222 CTF262144:CTF262145 CTF262139:CTF262141 CTF196683:CTF196686 CTF196608:CTF196609 CTF196603:CTF196605 CTF131147:CTF131150 CTF131072:CTF131073 CTF131067:CTF131069 CTF65611:CTF65614 CTF65536:CTF65537 CTF65531:CTF65533 CTF76:CTF78 CJJ983115:CJJ983118 CJJ983040:CJJ983041 CJJ983035:CJJ983037 CJJ917579:CJJ917582 CJJ917504:CJJ917505 CJJ917499:CJJ917501 CJJ852043:CJJ852046 CJJ851968:CJJ851969 CJJ851963:CJJ851965 CJJ786507:CJJ786510 CJJ786432:CJJ786433 CJJ786427:CJJ786429 CJJ720971:CJJ720974 CJJ720896:CJJ720897 CJJ720891:CJJ720893 CJJ655435:CJJ655438 CJJ655360:CJJ655361 CJJ655355:CJJ655357 CJJ589899:CJJ589902 CJJ589824:CJJ589825 CJJ589819:CJJ589821 CJJ524363:CJJ524366 CJJ524288:CJJ524289 CJJ524283:CJJ524285 CJJ458827:CJJ458830 CJJ458752:CJJ458753 CJJ458747:CJJ458749 CJJ393291:CJJ393294 CJJ393216:CJJ393217 CJJ393211:CJJ393213 CJJ327755:CJJ327758 CJJ327680:CJJ327681 CJJ327675:CJJ327677 CJJ262219:CJJ262222 CJJ262144:CJJ262145 CJJ262139:CJJ262141 CJJ196683:CJJ196686 CJJ196608:CJJ196609 CJJ196603:CJJ196605 CJJ131147:CJJ131150 CJJ131072:CJJ131073 CJJ131067:CJJ131069 CJJ65611:CJJ65614 CJJ65536:CJJ65537 CJJ65531:CJJ65533 CJJ76:CJJ78 BZN983115:BZN983118 BZN983040:BZN983041 BZN983035:BZN983037 BZN917579:BZN917582 BZN917504:BZN917505 BZN917499:BZN917501 BZN852043:BZN852046 BZN851968:BZN851969 BZN851963:BZN851965 BZN786507:BZN786510 BZN786432:BZN786433 BZN786427:BZN786429 BZN720971:BZN720974 BZN720896:BZN720897 BZN720891:BZN720893 BZN655435:BZN655438 BZN655360:BZN655361 BZN655355:BZN655357 BZN589899:BZN589902 BZN589824:BZN589825 BZN589819:BZN589821 BZN524363:BZN524366 BZN524288:BZN524289 BZN524283:BZN524285 BZN458827:BZN458830 BZN458752:BZN458753 BZN458747:BZN458749 BZN393291:BZN393294 BZN393216:BZN393217 BZN393211:BZN393213 BZN327755:BZN327758 BZN327680:BZN327681 BZN327675:BZN327677 BZN262219:BZN262222 BZN262144:BZN262145 BZN262139:BZN262141 BZN196683:BZN196686 BZN196608:BZN196609 BZN196603:BZN196605 BZN131147:BZN131150 BZN131072:BZN131073 BZN131067:BZN131069 BZN65611:BZN65614 BZN65536:BZN65537 BZN65531:BZN65533 BZN76:BZN78 BPR983115:BPR983118 BPR983040:BPR983041 BPR983035:BPR983037 BPR917579:BPR917582 BPR917504:BPR917505 BPR917499:BPR917501 BPR852043:BPR852046 BPR851968:BPR851969 BPR851963:BPR851965 BPR786507:BPR786510 BPR786432:BPR786433 BPR786427:BPR786429 BPR720971:BPR720974 BPR720896:BPR720897 BPR720891:BPR720893 BPR655435:BPR655438 BPR655360:BPR655361 BPR655355:BPR655357 BPR589899:BPR589902 BPR589824:BPR589825 BPR589819:BPR589821 BPR524363:BPR524366 BPR524288:BPR524289 BPR524283:BPR524285 BPR458827:BPR458830 BPR458752:BPR458753 BPR458747:BPR458749 BPR393291:BPR393294 BPR393216:BPR393217 BPR393211:BPR393213 BPR327755:BPR327758 BPR327680:BPR327681 BPR327675:BPR327677 BPR262219:BPR262222 BPR262144:BPR262145 BPR262139:BPR262141 BPR196683:BPR196686 BPR196608:BPR196609 BPR196603:BPR196605 BPR131147:BPR131150 BPR131072:BPR131073 BPR131067:BPR131069 BPR65611:BPR65614 BPR65536:BPR65537 BPR65531:BPR65533 BPR76:BPR78 BFV983115:BFV983118 BFV983040:BFV983041 BFV983035:BFV983037 BFV917579:BFV917582 BFV917504:BFV917505 BFV917499:BFV917501 BFV852043:BFV852046 BFV851968:BFV851969 BFV851963:BFV851965 BFV786507:BFV786510 BFV786432:BFV786433 BFV786427:BFV786429 BFV720971:BFV720974 BFV720896:BFV720897 BFV720891:BFV720893 BFV655435:BFV655438 BFV655360:BFV655361 BFV655355:BFV655357 BFV589899:BFV589902 BFV589824:BFV589825 BFV589819:BFV589821 BFV524363:BFV524366 BFV524288:BFV524289 BFV524283:BFV524285 BFV458827:BFV458830 BFV458752:BFV458753 BFV458747:BFV458749 BFV393291:BFV393294 BFV393216:BFV393217 BFV393211:BFV393213 BFV327755:BFV327758 BFV327680:BFV327681 BFV327675:BFV327677 BFV262219:BFV262222 BFV262144:BFV262145 BFV262139:BFV262141 BFV196683:BFV196686 BFV196608:BFV196609 BFV196603:BFV196605 BFV131147:BFV131150 BFV131072:BFV131073 BFV131067:BFV131069 BFV65611:BFV65614 BFV65536:BFV65537 BFV65531:BFV65533 BFV76:BFV78 AVZ983115:AVZ983118 AVZ983040:AVZ983041 AVZ983035:AVZ983037 AVZ917579:AVZ917582 AVZ917504:AVZ917505 AVZ917499:AVZ917501 AVZ852043:AVZ852046 AVZ851968:AVZ851969 AVZ851963:AVZ851965 AVZ786507:AVZ786510 AVZ786432:AVZ786433 AVZ786427:AVZ786429 AVZ720971:AVZ720974 AVZ720896:AVZ720897 AVZ720891:AVZ720893 AVZ655435:AVZ655438 AVZ655360:AVZ655361 AVZ655355:AVZ655357 AVZ589899:AVZ589902 AVZ589824:AVZ589825 AVZ589819:AVZ589821 AVZ524363:AVZ524366 AVZ524288:AVZ524289 AVZ524283:AVZ524285 AVZ458827:AVZ458830 AVZ458752:AVZ458753 AVZ458747:AVZ458749 AVZ393291:AVZ393294 AVZ393216:AVZ393217 AVZ393211:AVZ393213 AVZ327755:AVZ327758 AVZ327680:AVZ327681 AVZ327675:AVZ327677 AVZ262219:AVZ262222 AVZ262144:AVZ262145 AVZ262139:AVZ262141 AVZ196683:AVZ196686 AVZ196608:AVZ196609 AVZ196603:AVZ196605 AVZ131147:AVZ131150 AVZ131072:AVZ131073 AVZ131067:AVZ131069 AVZ65611:AVZ65614 AVZ65536:AVZ65537 AVZ65531:AVZ65533 AVZ76:AVZ78 AMD983115:AMD983118 AMD983040:AMD983041 AMD983035:AMD983037 AMD917579:AMD917582 AMD917504:AMD917505 AMD917499:AMD917501 AMD852043:AMD852046 AMD851968:AMD851969 AMD851963:AMD851965 AMD786507:AMD786510 AMD786432:AMD786433 AMD786427:AMD786429 AMD720971:AMD720974 AMD720896:AMD720897 AMD720891:AMD720893 AMD655435:AMD655438 AMD655360:AMD655361 AMD655355:AMD655357 AMD589899:AMD589902 AMD589824:AMD589825 AMD589819:AMD589821 AMD524363:AMD524366 AMD524288:AMD524289 AMD524283:AMD524285 AMD458827:AMD458830 AMD458752:AMD458753 AMD458747:AMD458749 AMD393291:AMD393294 AMD393216:AMD393217 AMD393211:AMD393213 AMD327755:AMD327758 AMD327680:AMD327681 AMD327675:AMD327677 AMD262219:AMD262222 AMD262144:AMD262145 AMD262139:AMD262141 AMD196683:AMD196686 AMD196608:AMD196609 AMD196603:AMD196605 AMD131147:AMD131150 AMD131072:AMD131073 AMD131067:AMD131069 AMD65611:AMD65614 AMD65536:AMD65537 AMD65531:AMD65533 AMD76:AMD78 ACH983115:ACH983118 ACH983040:ACH983041 ACH983035:ACH983037 ACH917579:ACH917582 ACH917504:ACH917505 ACH917499:ACH917501 ACH852043:ACH852046 ACH851968:ACH851969 ACH851963:ACH851965 ACH786507:ACH786510 ACH786432:ACH786433 ACH786427:ACH786429 ACH720971:ACH720974 ACH720896:ACH720897 ACH720891:ACH720893 ACH655435:ACH655438 ACH655360:ACH655361 ACH655355:ACH655357 ACH589899:ACH589902 ACH589824:ACH589825 ACH589819:ACH589821 ACH524363:ACH524366 ACH524288:ACH524289 ACH524283:ACH524285 ACH458827:ACH458830 ACH458752:ACH458753 ACH458747:ACH458749 ACH393291:ACH393294 ACH393216:ACH393217 ACH393211:ACH393213 ACH327755:ACH327758 ACH327680:ACH327681 ACH327675:ACH327677 ACH262219:ACH262222 ACH262144:ACH262145 ACH262139:ACH262141 ACH196683:ACH196686 ACH196608:ACH196609 ACH196603:ACH196605 ACH131147:ACH131150 ACH131072:ACH131073 ACH131067:ACH131069 ACH65611:ACH65614 ACH65536:ACH65537 ACH65531:ACH65533 ACH76:ACH78 SL983115:SL983118 SL983040:SL983041 SL983035:SL983037 SL917579:SL917582 SL917504:SL917505 SL917499:SL917501 SL852043:SL852046 SL851968:SL851969 SL851963:SL851965 SL786507:SL786510 SL786432:SL786433 SL786427:SL786429 SL720971:SL720974 SL720896:SL720897 SL720891:SL720893 SL655435:SL655438 SL655360:SL655361 SL655355:SL655357 SL589899:SL589902 SL589824:SL589825 SL589819:SL589821 SL524363:SL524366 SL524288:SL524289 SL524283:SL524285 SL458827:SL458830 SL458752:SL458753 SL458747:SL458749 SL393291:SL393294 SL393216:SL393217 SL393211:SL393213 SL327755:SL327758 SL327680:SL327681 SL327675:SL327677 SL262219:SL262222 SL262144:SL262145 SL262139:SL262141 SL196683:SL196686 SL196608:SL196609 SL196603:SL196605 SL131147:SL131150 SL131072:SL131073 SL131067:SL131069 SL65611:SL65614 SL65536:SL65537 SL65531:SL65533 SL76:SL78 IP983115:IP983118 IP983040:IP983041 IP983035:IP983037 IP917579:IP917582 IP917504:IP917505 IP917499:IP917501 IP852043:IP852046 IP851968:IP851969 IP851963:IP851965 IP786507:IP786510 IP786432:IP786433 IP786427:IP786429 IP720971:IP720974 IP720896:IP720897 IP720891:IP720893 IP655435:IP655438 IP655360:IP655361 IP655355:IP655357 IP589899:IP589902 IP589824:IP589825 IP589819:IP589821 IP524363:IP524366 IP524288:IP524289 IP524283:IP524285 IP458827:IP458830 IP458752:IP458753 IP458747:IP458749 IP393291:IP393294 IP393216:IP393217 IP393211:IP393213 IP327755:IP327758 IP327680:IP327681 IP327675:IP327677 IP262219:IP262222 IP262144:IP262145 IP262139:IP262141 IP196683:IP196686 IP196608:IP196609 IP196603:IP196605 IP131147:IP131150 IP131072:IP131073 IP131067:IP131069 IP65611:IP65614 IP65536:IP65537 IP65531:IP65533 IP76:IP78 WVB983060:WVB983065 WLF983060:WLF983065 WBJ983060:WBJ983065 VRN983060:VRN983065 VHR983060:VHR983065 UXV983060:UXV983065 UNZ983060:UNZ983065 UED983060:UED983065 TUH983060:TUH983065 TKL983060:TKL983065 TAP983060:TAP983065 SQT983060:SQT983065 SGX983060:SGX983065 RXB983060:RXB983065 RNF983060:RNF983065 RDJ983060:RDJ983065 QTN983060:QTN983065 QJR983060:QJR983065 PZV983060:PZV983065 PPZ983060:PPZ983065 PGD983060:PGD983065 OWH983060:OWH983065 OML983060:OML983065 OCP983060:OCP983065 NST983060:NST983065 NIX983060:NIX983065 MZB983060:MZB983065 MPF983060:MPF983065 MFJ983060:MFJ983065 LVN983060:LVN983065 LLR983060:LLR983065 LBV983060:LBV983065 KRZ983060:KRZ983065 KID983060:KID983065 JYH983060:JYH983065 JOL983060:JOL983065 JEP983060:JEP983065 IUT983060:IUT983065 IKX983060:IKX983065 IBB983060:IBB983065 HRF983060:HRF983065 HHJ983060:HHJ983065 GXN983060:GXN983065 GNR983060:GNR983065 GDV983060:GDV983065 FTZ983060:FTZ983065 FKD983060:FKD983065 FAH983060:FAH983065 EQL983060:EQL983065 EGP983060:EGP983065 DWT983060:DWT983065 DMX983060:DMX983065 DDB983060:DDB983065 CTF983060:CTF983065 CJJ983060:CJJ983065 BZN983060:BZN983065 BPR983060:BPR983065 BFV983060:BFV983065 AVZ983060:AVZ983065 AMD983060:AMD983065 ACH983060:ACH983065 SL983060:SL983065 IP983060:IP983065 WVB983051 WLF983051 WBJ983051 VRN983051 VHR983051 UXV983051 UNZ983051 UED983051 TUH983051 TKL983051 TAP983051 SQT983051 SGX983051 RXB983051 RNF983051 RDJ983051 QTN983051 QJR983051 PZV983051 PPZ983051 PGD983051 OWH983051 OML983051 OCP983051 NST983051 NIX983051 MZB983051 MPF983051 MFJ983051 LVN983051 LLR983051 LBV983051 KRZ983051 KID983051 JYH983051 JOL983051 JEP983051 IUT983051 IKX983051 IBB983051 HRF983051 HHJ983051 GXN983051 GNR983051 GDV983051 FTZ983051 FKD983051 FAH983051 EQL983051 EGP983051 DWT983051 DMX983051 DDB983051 CTF983051 CJJ983051 BZN983051 BPR983051 BFV983051 AVZ983051 AMD983051 ACH983051 SL983051 IP983051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WVB983045 WLF983045 WBJ983045 VRN983045 VHR983045 UXV983045 UNZ983045 UED983045 TUH983045 TKL983045 TAP983045 SQT983045 SGX983045 RXB983045 RNF983045 RDJ983045 QTN983045 QJR983045 PZV983045 PPZ983045 PGD983045 OWH983045 OML983045 OCP983045 NST983045 NIX983045 MZB983045 MPF983045 MFJ983045 LVN983045 LLR983045 LBV983045 KRZ983045 KID983045 JYH983045 JOL983045 JEP983045 IUT983045 IKX983045 IBB983045 HRF983045 HHJ983045 GXN983045 GNR983045 GDV983045 FTZ983045 FKD983045 FAH983045 EQL983045 EGP983045 DWT983045 DMX983045 DDB983045 CTF983045 CJJ983045 BZN983045 BPR983045 BFV983045 AVZ983045 AMD983045 ACH983045 SL983045 IP983045 WVB983043 WLF983043 WBJ983043 VRN983043 VHR983043 UXV983043 UNZ983043 UED983043 TUH983043 TKL983043 TAP983043 SQT983043 SGX983043 RXB983043 RNF983043 RDJ983043 QTN983043 QJR983043 PZV983043 PPZ983043 PGD983043 OWH983043 OML983043 OCP983043 NST983043 NIX983043 MZB983043 MPF983043 MFJ983043 LVN983043 LLR983043 LBV983043 KRZ983043 KID983043 JYH983043 JOL983043 JEP983043 IUT983043 IKX983043 IBB983043 HRF983043 HHJ983043 GXN983043 GNR983043 GDV983043 FTZ983043 FKD983043 FAH983043 EQL983043 EGP983043 DWT983043 DMX983043 DDB983043 CTF983043 CJJ983043 BZN983043 BPR983043 BFV983043 AVZ983043 AMD983043 ACH983043 SL983043 IP983043 WVB917524:WVB917529 WLF917524:WLF917529 WBJ917524:WBJ917529 VRN917524:VRN917529 VHR917524:VHR917529 UXV917524:UXV917529 UNZ917524:UNZ917529 UED917524:UED917529 TUH917524:TUH917529 TKL917524:TKL917529 TAP917524:TAP917529 SQT917524:SQT917529 SGX917524:SGX917529 RXB917524:RXB917529 RNF917524:RNF917529 RDJ917524:RDJ917529 QTN917524:QTN917529 QJR917524:QJR917529 PZV917524:PZV917529 PPZ917524:PPZ917529 PGD917524:PGD917529 OWH917524:OWH917529 OML917524:OML917529 OCP917524:OCP917529 NST917524:NST917529 NIX917524:NIX917529 MZB917524:MZB917529 MPF917524:MPF917529 MFJ917524:MFJ917529 LVN917524:LVN917529 LLR917524:LLR917529 LBV917524:LBV917529 KRZ917524:KRZ917529 KID917524:KID917529 JYH917524:JYH917529 JOL917524:JOL917529 JEP917524:JEP917529 IUT917524:IUT917529 IKX917524:IKX917529 IBB917524:IBB917529 HRF917524:HRF917529 HHJ917524:HHJ917529 GXN917524:GXN917529 GNR917524:GNR917529 GDV917524:GDV917529 FTZ917524:FTZ917529 FKD917524:FKD917529 FAH917524:FAH917529 EQL917524:EQL917529 EGP917524:EGP917529 DWT917524:DWT917529 DMX917524:DMX917529 DDB917524:DDB917529 CTF917524:CTF917529 CJJ917524:CJJ917529 BZN917524:BZN917529 BPR917524:BPR917529 BFV917524:BFV917529 AVZ917524:AVZ917529 AMD917524:AMD917529 ACH917524:ACH917529 SL917524:SL917529 IP917524:IP917529 WVB917515 WLF917515 WBJ917515 VRN917515 VHR917515 UXV917515 UNZ917515 UED917515 TUH917515 TKL917515 TAP917515 SQT917515 SGX917515 RXB917515 RNF917515 RDJ917515 QTN917515 QJR917515 PZV917515 PPZ917515 PGD917515 OWH917515 OML917515 OCP917515 NST917515 NIX917515 MZB917515 MPF917515 MFJ917515 LVN917515 LLR917515 LBV917515 KRZ917515 KID917515 JYH917515 JOL917515 JEP917515 IUT917515 IKX917515 IBB917515 HRF917515 HHJ917515 GXN917515 GNR917515 GDV917515 FTZ917515 FKD917515 FAH917515 EQL917515 EGP917515 DWT917515 DMX917515 DDB917515 CTF917515 CJJ917515 BZN917515 BPR917515 BFV917515 AVZ917515 AMD917515 ACH917515 SL917515 IP917515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WVB917509 WLF917509 WBJ917509 VRN917509 VHR917509 UXV917509 UNZ917509 UED917509 TUH917509 TKL917509 TAP917509 SQT917509 SGX917509 RXB917509 RNF917509 RDJ917509 QTN917509 QJR917509 PZV917509 PPZ917509 PGD917509 OWH917509 OML917509 OCP917509 NST917509 NIX917509 MZB917509 MPF917509 MFJ917509 LVN917509 LLR917509 LBV917509 KRZ917509 KID917509 JYH917509 JOL917509 JEP917509 IUT917509 IKX917509 IBB917509 HRF917509 HHJ917509 GXN917509 GNR917509 GDV917509 FTZ917509 FKD917509 FAH917509 EQL917509 EGP917509 DWT917509 DMX917509 DDB917509 CTF917509 CJJ917509 BZN917509 BPR917509 BFV917509 AVZ917509 AMD917509 ACH917509 SL917509 IP917509 WVB917507 WLF917507 WBJ917507 VRN917507 VHR917507 UXV917507 UNZ917507 UED917507 TUH917507 TKL917507 TAP917507 SQT917507 SGX917507 RXB917507 RNF917507 RDJ917507 QTN917507 QJR917507 PZV917507 PPZ917507 PGD917507 OWH917507 OML917507 OCP917507 NST917507 NIX917507 MZB917507 MPF917507 MFJ917507 LVN917507 LLR917507 LBV917507 KRZ917507 KID917507 JYH917507 JOL917507 JEP917507 IUT917507 IKX917507 IBB917507 HRF917507 HHJ917507 GXN917507 GNR917507 GDV917507 FTZ917507 FKD917507 FAH917507 EQL917507 EGP917507 DWT917507 DMX917507 DDB917507 CTF917507 CJJ917507 BZN917507 BPR917507 BFV917507 AVZ917507 AMD917507 ACH917507 SL917507 IP917507 WVB851988:WVB851993 WLF851988:WLF851993 WBJ851988:WBJ851993 VRN851988:VRN851993 VHR851988:VHR851993 UXV851988:UXV851993 UNZ851988:UNZ851993 UED851988:UED851993 TUH851988:TUH851993 TKL851988:TKL851993 TAP851988:TAP851993 SQT851988:SQT851993 SGX851988:SGX851993 RXB851988:RXB851993 RNF851988:RNF851993 RDJ851988:RDJ851993 QTN851988:QTN851993 QJR851988:QJR851993 PZV851988:PZV851993 PPZ851988:PPZ851993 PGD851988:PGD851993 OWH851988:OWH851993 OML851988:OML851993 OCP851988:OCP851993 NST851988:NST851993 NIX851988:NIX851993 MZB851988:MZB851993 MPF851988:MPF851993 MFJ851988:MFJ851993 LVN851988:LVN851993 LLR851988:LLR851993 LBV851988:LBV851993 KRZ851988:KRZ851993 KID851988:KID851993 JYH851988:JYH851993 JOL851988:JOL851993 JEP851988:JEP851993 IUT851988:IUT851993 IKX851988:IKX851993 IBB851988:IBB851993 HRF851988:HRF851993 HHJ851988:HHJ851993 GXN851988:GXN851993 GNR851988:GNR851993 GDV851988:GDV851993 FTZ851988:FTZ851993 FKD851988:FKD851993 FAH851988:FAH851993 EQL851988:EQL851993 EGP851988:EGP851993 DWT851988:DWT851993 DMX851988:DMX851993 DDB851988:DDB851993 CTF851988:CTF851993 CJJ851988:CJJ851993 BZN851988:BZN851993 BPR851988:BPR851993 BFV851988:BFV851993 AVZ851988:AVZ851993 AMD851988:AMD851993 ACH851988:ACH851993 SL851988:SL851993 IP851988:IP851993 WVB851979 WLF851979 WBJ851979 VRN851979 VHR851979 UXV851979 UNZ851979 UED851979 TUH851979 TKL851979 TAP851979 SQT851979 SGX851979 RXB851979 RNF851979 RDJ851979 QTN851979 QJR851979 PZV851979 PPZ851979 PGD851979 OWH851979 OML851979 OCP851979 NST851979 NIX851979 MZB851979 MPF851979 MFJ851979 LVN851979 LLR851979 LBV851979 KRZ851979 KID851979 JYH851979 JOL851979 JEP851979 IUT851979 IKX851979 IBB851979 HRF851979 HHJ851979 GXN851979 GNR851979 GDV851979 FTZ851979 FKD851979 FAH851979 EQL851979 EGP851979 DWT851979 DMX851979 DDB851979 CTF851979 CJJ851979 BZN851979 BPR851979 BFV851979 AVZ851979 AMD851979 ACH851979 SL851979 IP851979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WVB851973 WLF851973 WBJ851973 VRN851973 VHR851973 UXV851973 UNZ851973 UED851973 TUH851973 TKL851973 TAP851973 SQT851973 SGX851973 RXB851973 RNF851973 RDJ851973 QTN851973 QJR851973 PZV851973 PPZ851973 PGD851973 OWH851973 OML851973 OCP851973 NST851973 NIX851973 MZB851973 MPF851973 MFJ851973 LVN851973 LLR851973 LBV851973 KRZ851973 KID851973 JYH851973 JOL851973 JEP851973 IUT851973 IKX851973 IBB851973 HRF851973 HHJ851973 GXN851973 GNR851973 GDV851973 FTZ851973 FKD851973 FAH851973 EQL851973 EGP851973 DWT851973 DMX851973 DDB851973 CTF851973 CJJ851973 BZN851973 BPR851973 BFV851973 AVZ851973 AMD851973 ACH851973 SL851973 IP851973 WVB851971 WLF851971 WBJ851971 VRN851971 VHR851971 UXV851971 UNZ851971 UED851971 TUH851971 TKL851971 TAP851971 SQT851971 SGX851971 RXB851971 RNF851971 RDJ851971 QTN851971 QJR851971 PZV851971 PPZ851971 PGD851971 OWH851971 OML851971 OCP851971 NST851971 NIX851971 MZB851971 MPF851971 MFJ851971 LVN851971 LLR851971 LBV851971 KRZ851971 KID851971 JYH851971 JOL851971 JEP851971 IUT851971 IKX851971 IBB851971 HRF851971 HHJ851971 GXN851971 GNR851971 GDV851971 FTZ851971 FKD851971 FAH851971 EQL851971 EGP851971 DWT851971 DMX851971 DDB851971 CTF851971 CJJ851971 BZN851971 BPR851971 BFV851971 AVZ851971 AMD851971 ACH851971 SL851971 IP851971 WVB786452:WVB786457 WLF786452:WLF786457 WBJ786452:WBJ786457 VRN786452:VRN786457 VHR786452:VHR786457 UXV786452:UXV786457 UNZ786452:UNZ786457 UED786452:UED786457 TUH786452:TUH786457 TKL786452:TKL786457 TAP786452:TAP786457 SQT786452:SQT786457 SGX786452:SGX786457 RXB786452:RXB786457 RNF786452:RNF786457 RDJ786452:RDJ786457 QTN786452:QTN786457 QJR786452:QJR786457 PZV786452:PZV786457 PPZ786452:PPZ786457 PGD786452:PGD786457 OWH786452:OWH786457 OML786452:OML786457 OCP786452:OCP786457 NST786452:NST786457 NIX786452:NIX786457 MZB786452:MZB786457 MPF786452:MPF786457 MFJ786452:MFJ786457 LVN786452:LVN786457 LLR786452:LLR786457 LBV786452:LBV786457 KRZ786452:KRZ786457 KID786452:KID786457 JYH786452:JYH786457 JOL786452:JOL786457 JEP786452:JEP786457 IUT786452:IUT786457 IKX786452:IKX786457 IBB786452:IBB786457 HRF786452:HRF786457 HHJ786452:HHJ786457 GXN786452:GXN786457 GNR786452:GNR786457 GDV786452:GDV786457 FTZ786452:FTZ786457 FKD786452:FKD786457 FAH786452:FAH786457 EQL786452:EQL786457 EGP786452:EGP786457 DWT786452:DWT786457 DMX786452:DMX786457 DDB786452:DDB786457 CTF786452:CTF786457 CJJ786452:CJJ786457 BZN786452:BZN786457 BPR786452:BPR786457 BFV786452:BFV786457 AVZ786452:AVZ786457 AMD786452:AMD786457 ACH786452:ACH786457 SL786452:SL786457 IP786452:IP786457 WVB786443 WLF786443 WBJ786443 VRN786443 VHR786443 UXV786443 UNZ786443 UED786443 TUH786443 TKL786443 TAP786443 SQT786443 SGX786443 RXB786443 RNF786443 RDJ786443 QTN786443 QJR786443 PZV786443 PPZ786443 PGD786443 OWH786443 OML786443 OCP786443 NST786443 NIX786443 MZB786443 MPF786443 MFJ786443 LVN786443 LLR786443 LBV786443 KRZ786443 KID786443 JYH786443 JOL786443 JEP786443 IUT786443 IKX786443 IBB786443 HRF786443 HHJ786443 GXN786443 GNR786443 GDV786443 FTZ786443 FKD786443 FAH786443 EQL786443 EGP786443 DWT786443 DMX786443 DDB786443 CTF786443 CJJ786443 BZN786443 BPR786443 BFV786443 AVZ786443 AMD786443 ACH786443 SL786443 IP786443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WVB786437 WLF786437 WBJ786437 VRN786437 VHR786437 UXV786437 UNZ786437 UED786437 TUH786437 TKL786437 TAP786437 SQT786437 SGX786437 RXB786437 RNF786437 RDJ786437 QTN786437 QJR786437 PZV786437 PPZ786437 PGD786437 OWH786437 OML786437 OCP786437 NST786437 NIX786437 MZB786437 MPF786437 MFJ786437 LVN786437 LLR786437 LBV786437 KRZ786437 KID786437 JYH786437 JOL786437 JEP786437 IUT786437 IKX786437 IBB786437 HRF786437 HHJ786437 GXN786437 GNR786437 GDV786437 FTZ786437 FKD786437 FAH786437 EQL786437 EGP786437 DWT786437 DMX786437 DDB786437 CTF786437 CJJ786437 BZN786437 BPR786437 BFV786437 AVZ786437 AMD786437 ACH786437 SL786437 IP786437 WVB786435 WLF786435 WBJ786435 VRN786435 VHR786435 UXV786435 UNZ786435 UED786435 TUH786435 TKL786435 TAP786435 SQT786435 SGX786435 RXB786435 RNF786435 RDJ786435 QTN786435 QJR786435 PZV786435 PPZ786435 PGD786435 OWH786435 OML786435 OCP786435 NST786435 NIX786435 MZB786435 MPF786435 MFJ786435 LVN786435 LLR786435 LBV786435 KRZ786435 KID786435 JYH786435 JOL786435 JEP786435 IUT786435 IKX786435 IBB786435 HRF786435 HHJ786435 GXN786435 GNR786435 GDV786435 FTZ786435 FKD786435 FAH786435 EQL786435 EGP786435 DWT786435 DMX786435 DDB786435 CTF786435 CJJ786435 BZN786435 BPR786435 BFV786435 AVZ786435 AMD786435 ACH786435 SL786435 IP786435 WVB720916:WVB720921 WLF720916:WLF720921 WBJ720916:WBJ720921 VRN720916:VRN720921 VHR720916:VHR720921 UXV720916:UXV720921 UNZ720916:UNZ720921 UED720916:UED720921 TUH720916:TUH720921 TKL720916:TKL720921 TAP720916:TAP720921 SQT720916:SQT720921 SGX720916:SGX720921 RXB720916:RXB720921 RNF720916:RNF720921 RDJ720916:RDJ720921 QTN720916:QTN720921 QJR720916:QJR720921 PZV720916:PZV720921 PPZ720916:PPZ720921 PGD720916:PGD720921 OWH720916:OWH720921 OML720916:OML720921 OCP720916:OCP720921 NST720916:NST720921 NIX720916:NIX720921 MZB720916:MZB720921 MPF720916:MPF720921 MFJ720916:MFJ720921 LVN720916:LVN720921 LLR720916:LLR720921 LBV720916:LBV720921 KRZ720916:KRZ720921 KID720916:KID720921 JYH720916:JYH720921 JOL720916:JOL720921 JEP720916:JEP720921 IUT720916:IUT720921 IKX720916:IKX720921 IBB720916:IBB720921 HRF720916:HRF720921 HHJ720916:HHJ720921 GXN720916:GXN720921 GNR720916:GNR720921 GDV720916:GDV720921 FTZ720916:FTZ720921 FKD720916:FKD720921 FAH720916:FAH720921 EQL720916:EQL720921 EGP720916:EGP720921 DWT720916:DWT720921 DMX720916:DMX720921 DDB720916:DDB720921 CTF720916:CTF720921 CJJ720916:CJJ720921 BZN720916:BZN720921 BPR720916:BPR720921 BFV720916:BFV720921 AVZ720916:AVZ720921 AMD720916:AMD720921 ACH720916:ACH720921 SL720916:SL720921 IP720916:IP720921 WVB720907 WLF720907 WBJ720907 VRN720907 VHR720907 UXV720907 UNZ720907 UED720907 TUH720907 TKL720907 TAP720907 SQT720907 SGX720907 RXB720907 RNF720907 RDJ720907 QTN720907 QJR720907 PZV720907 PPZ720907 PGD720907 OWH720907 OML720907 OCP720907 NST720907 NIX720907 MZB720907 MPF720907 MFJ720907 LVN720907 LLR720907 LBV720907 KRZ720907 KID720907 JYH720907 JOL720907 JEP720907 IUT720907 IKX720907 IBB720907 HRF720907 HHJ720907 GXN720907 GNR720907 GDV720907 FTZ720907 FKD720907 FAH720907 EQL720907 EGP720907 DWT720907 DMX720907 DDB720907 CTF720907 CJJ720907 BZN720907 BPR720907 BFV720907 AVZ720907 AMD720907 ACH720907 SL720907 IP720907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WVB720901 WLF720901 WBJ720901 VRN720901 VHR720901 UXV720901 UNZ720901 UED720901 TUH720901 TKL720901 TAP720901 SQT720901 SGX720901 RXB720901 RNF720901 RDJ720901 QTN720901 QJR720901 PZV720901 PPZ720901 PGD720901 OWH720901 OML720901 OCP720901 NST720901 NIX720901 MZB720901 MPF720901 MFJ720901 LVN720901 LLR720901 LBV720901 KRZ720901 KID720901 JYH720901 JOL720901 JEP720901 IUT720901 IKX720901 IBB720901 HRF720901 HHJ720901 GXN720901 GNR720901 GDV720901 FTZ720901 FKD720901 FAH720901 EQL720901 EGP720901 DWT720901 DMX720901 DDB720901 CTF720901 CJJ720901 BZN720901 BPR720901 BFV720901 AVZ720901 AMD720901 ACH720901 SL720901 IP720901 WVB720899 WLF720899 WBJ720899 VRN720899 VHR720899 UXV720899 UNZ720899 UED720899 TUH720899 TKL720899 TAP720899 SQT720899 SGX720899 RXB720899 RNF720899 RDJ720899 QTN720899 QJR720899 PZV720899 PPZ720899 PGD720899 OWH720899 OML720899 OCP720899 NST720899 NIX720899 MZB720899 MPF720899 MFJ720899 LVN720899 LLR720899 LBV720899 KRZ720899 KID720899 JYH720899 JOL720899 JEP720899 IUT720899 IKX720899 IBB720899 HRF720899 HHJ720899 GXN720899 GNR720899 GDV720899 FTZ720899 FKD720899 FAH720899 EQL720899 EGP720899 DWT720899 DMX720899 DDB720899 CTF720899 CJJ720899 BZN720899 BPR720899 BFV720899 AVZ720899 AMD720899 ACH720899 SL720899 IP720899 WVB655380:WVB655385 WLF655380:WLF655385 WBJ655380:WBJ655385 VRN655380:VRN655385 VHR655380:VHR655385 UXV655380:UXV655385 UNZ655380:UNZ655385 UED655380:UED655385 TUH655380:TUH655385 TKL655380:TKL655385 TAP655380:TAP655385 SQT655380:SQT655385 SGX655380:SGX655385 RXB655380:RXB655385 RNF655380:RNF655385 RDJ655380:RDJ655385 QTN655380:QTN655385 QJR655380:QJR655385 PZV655380:PZV655385 PPZ655380:PPZ655385 PGD655380:PGD655385 OWH655380:OWH655385 OML655380:OML655385 OCP655380:OCP655385 NST655380:NST655385 NIX655380:NIX655385 MZB655380:MZB655385 MPF655380:MPF655385 MFJ655380:MFJ655385 LVN655380:LVN655385 LLR655380:LLR655385 LBV655380:LBV655385 KRZ655380:KRZ655385 KID655380:KID655385 JYH655380:JYH655385 JOL655380:JOL655385 JEP655380:JEP655385 IUT655380:IUT655385 IKX655380:IKX655385 IBB655380:IBB655385 HRF655380:HRF655385 HHJ655380:HHJ655385 GXN655380:GXN655385 GNR655380:GNR655385 GDV655380:GDV655385 FTZ655380:FTZ655385 FKD655380:FKD655385 FAH655380:FAH655385 EQL655380:EQL655385 EGP655380:EGP655385 DWT655380:DWT655385 DMX655380:DMX655385 DDB655380:DDB655385 CTF655380:CTF655385 CJJ655380:CJJ655385 BZN655380:BZN655385 BPR655380:BPR655385 BFV655380:BFV655385 AVZ655380:AVZ655385 AMD655380:AMD655385 ACH655380:ACH655385 SL655380:SL655385 IP655380:IP655385 WVB655371 WLF655371 WBJ655371 VRN655371 VHR655371 UXV655371 UNZ655371 UED655371 TUH655371 TKL655371 TAP655371 SQT655371 SGX655371 RXB655371 RNF655371 RDJ655371 QTN655371 QJR655371 PZV655371 PPZ655371 PGD655371 OWH655371 OML655371 OCP655371 NST655371 NIX655371 MZB655371 MPF655371 MFJ655371 LVN655371 LLR655371 LBV655371 KRZ655371 KID655371 JYH655371 JOL655371 JEP655371 IUT655371 IKX655371 IBB655371 HRF655371 HHJ655371 GXN655371 GNR655371 GDV655371 FTZ655371 FKD655371 FAH655371 EQL655371 EGP655371 DWT655371 DMX655371 DDB655371 CTF655371 CJJ655371 BZN655371 BPR655371 BFV655371 AVZ655371 AMD655371 ACH655371 SL655371 IP655371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WVB655365 WLF655365 WBJ655365 VRN655365 VHR655365 UXV655365 UNZ655365 UED655365 TUH655365 TKL655365 TAP655365 SQT655365 SGX655365 RXB655365 RNF655365 RDJ655365 QTN655365 QJR655365 PZV655365 PPZ655365 PGD655365 OWH655365 OML655365 OCP655365 NST655365 NIX655365 MZB655365 MPF655365 MFJ655365 LVN655365 LLR655365 LBV655365 KRZ655365 KID655365 JYH655365 JOL655365 JEP655365 IUT655365 IKX655365 IBB655365 HRF655365 HHJ655365 GXN655365 GNR655365 GDV655365 FTZ655365 FKD655365 FAH655365 EQL655365 EGP655365 DWT655365 DMX655365 DDB655365 CTF655365 CJJ655365 BZN655365 BPR655365 BFV655365 AVZ655365 AMD655365 ACH655365 SL655365 IP655365 WVB655363 WLF655363 WBJ655363 VRN655363 VHR655363 UXV655363 UNZ655363 UED655363 TUH655363 TKL655363 TAP655363 SQT655363 SGX655363 RXB655363 RNF655363 RDJ655363 QTN655363 QJR655363 PZV655363 PPZ655363 PGD655363 OWH655363 OML655363 OCP655363 NST655363 NIX655363 MZB655363 MPF655363 MFJ655363 LVN655363 LLR655363 LBV655363 KRZ655363 KID655363 JYH655363 JOL655363 JEP655363 IUT655363 IKX655363 IBB655363 HRF655363 HHJ655363 GXN655363 GNR655363 GDV655363 FTZ655363 FKD655363 FAH655363 EQL655363 EGP655363 DWT655363 DMX655363 DDB655363 CTF655363 CJJ655363 BZN655363 BPR655363 BFV655363 AVZ655363 AMD655363 ACH655363 SL655363 IP655363 WVB589844:WVB589849 WLF589844:WLF589849 WBJ589844:WBJ589849 VRN589844:VRN589849 VHR589844:VHR589849 UXV589844:UXV589849 UNZ589844:UNZ589849 UED589844:UED589849 TUH589844:TUH589849 TKL589844:TKL589849 TAP589844:TAP589849 SQT589844:SQT589849 SGX589844:SGX589849 RXB589844:RXB589849 RNF589844:RNF589849 RDJ589844:RDJ589849 QTN589844:QTN589849 QJR589844:QJR589849 PZV589844:PZV589849 PPZ589844:PPZ589849 PGD589844:PGD589849 OWH589844:OWH589849 OML589844:OML589849 OCP589844:OCP589849 NST589844:NST589849 NIX589844:NIX589849 MZB589844:MZB589849 MPF589844:MPF589849 MFJ589844:MFJ589849 LVN589844:LVN589849 LLR589844:LLR589849 LBV589844:LBV589849 KRZ589844:KRZ589849 KID589844:KID589849 JYH589844:JYH589849 JOL589844:JOL589849 JEP589844:JEP589849 IUT589844:IUT589849 IKX589844:IKX589849 IBB589844:IBB589849 HRF589844:HRF589849 HHJ589844:HHJ589849 GXN589844:GXN589849 GNR589844:GNR589849 GDV589844:GDV589849 FTZ589844:FTZ589849 FKD589844:FKD589849 FAH589844:FAH589849 EQL589844:EQL589849 EGP589844:EGP589849 DWT589844:DWT589849 DMX589844:DMX589849 DDB589844:DDB589849 CTF589844:CTF589849 CJJ589844:CJJ589849 BZN589844:BZN589849 BPR589844:BPR589849 BFV589844:BFV589849 AVZ589844:AVZ589849 AMD589844:AMD589849 ACH589844:ACH589849 SL589844:SL589849 IP589844:IP589849 WVB589835 WLF589835 WBJ589835 VRN589835 VHR589835 UXV589835 UNZ589835 UED589835 TUH589835 TKL589835 TAP589835 SQT589835 SGX589835 RXB589835 RNF589835 RDJ589835 QTN589835 QJR589835 PZV589835 PPZ589835 PGD589835 OWH589835 OML589835 OCP589835 NST589835 NIX589835 MZB589835 MPF589835 MFJ589835 LVN589835 LLR589835 LBV589835 KRZ589835 KID589835 JYH589835 JOL589835 JEP589835 IUT589835 IKX589835 IBB589835 HRF589835 HHJ589835 GXN589835 GNR589835 GDV589835 FTZ589835 FKD589835 FAH589835 EQL589835 EGP589835 DWT589835 DMX589835 DDB589835 CTF589835 CJJ589835 BZN589835 BPR589835 BFV589835 AVZ589835 AMD589835 ACH589835 SL589835 IP589835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WVB589829 WLF589829 WBJ589829 VRN589829 VHR589829 UXV589829 UNZ589829 UED589829 TUH589829 TKL589829 TAP589829 SQT589829 SGX589829 RXB589829 RNF589829 RDJ589829 QTN589829 QJR589829 PZV589829 PPZ589829 PGD589829 OWH589829 OML589829 OCP589829 NST589829 NIX589829 MZB589829 MPF589829 MFJ589829 LVN589829 LLR589829 LBV589829 KRZ589829 KID589829 JYH589829 JOL589829 JEP589829 IUT589829 IKX589829 IBB589829 HRF589829 HHJ589829 GXN589829 GNR589829 GDV589829 FTZ589829 FKD589829 FAH589829 EQL589829 EGP589829 DWT589829 DMX589829 DDB589829 CTF589829 CJJ589829 BZN589829 BPR589829 BFV589829 AVZ589829 AMD589829 ACH589829 SL589829 IP589829 WVB589827 WLF589827 WBJ589827 VRN589827 VHR589827 UXV589827 UNZ589827 UED589827 TUH589827 TKL589827 TAP589827 SQT589827 SGX589827 RXB589827 RNF589827 RDJ589827 QTN589827 QJR589827 PZV589827 PPZ589827 PGD589827 OWH589827 OML589827 OCP589827 NST589827 NIX589827 MZB589827 MPF589827 MFJ589827 LVN589827 LLR589827 LBV589827 KRZ589827 KID589827 JYH589827 JOL589827 JEP589827 IUT589827 IKX589827 IBB589827 HRF589827 HHJ589827 GXN589827 GNR589827 GDV589827 FTZ589827 FKD589827 FAH589827 EQL589827 EGP589827 DWT589827 DMX589827 DDB589827 CTF589827 CJJ589827 BZN589827 BPR589827 BFV589827 AVZ589827 AMD589827 ACH589827 SL589827 IP589827 WVB524308:WVB524313 WLF524308:WLF524313 WBJ524308:WBJ524313 VRN524308:VRN524313 VHR524308:VHR524313 UXV524308:UXV524313 UNZ524308:UNZ524313 UED524308:UED524313 TUH524308:TUH524313 TKL524308:TKL524313 TAP524308:TAP524313 SQT524308:SQT524313 SGX524308:SGX524313 RXB524308:RXB524313 RNF524308:RNF524313 RDJ524308:RDJ524313 QTN524308:QTN524313 QJR524308:QJR524313 PZV524308:PZV524313 PPZ524308:PPZ524313 PGD524308:PGD524313 OWH524308:OWH524313 OML524308:OML524313 OCP524308:OCP524313 NST524308:NST524313 NIX524308:NIX524313 MZB524308:MZB524313 MPF524308:MPF524313 MFJ524308:MFJ524313 LVN524308:LVN524313 LLR524308:LLR524313 LBV524308:LBV524313 KRZ524308:KRZ524313 KID524308:KID524313 JYH524308:JYH524313 JOL524308:JOL524313 JEP524308:JEP524313 IUT524308:IUT524313 IKX524308:IKX524313 IBB524308:IBB524313 HRF524308:HRF524313 HHJ524308:HHJ524313 GXN524308:GXN524313 GNR524308:GNR524313 GDV524308:GDV524313 FTZ524308:FTZ524313 FKD524308:FKD524313 FAH524308:FAH524313 EQL524308:EQL524313 EGP524308:EGP524313 DWT524308:DWT524313 DMX524308:DMX524313 DDB524308:DDB524313 CTF524308:CTF524313 CJJ524308:CJJ524313 BZN524308:BZN524313 BPR524308:BPR524313 BFV524308:BFV524313 AVZ524308:AVZ524313 AMD524308:AMD524313 ACH524308:ACH524313 SL524308:SL524313 IP524308:IP524313 WVB524299 WLF524299 WBJ524299 VRN524299 VHR524299 UXV524299 UNZ524299 UED524299 TUH524299 TKL524299 TAP524299 SQT524299 SGX524299 RXB524299 RNF524299 RDJ524299 QTN524299 QJR524299 PZV524299 PPZ524299 PGD524299 OWH524299 OML524299 OCP524299 NST524299 NIX524299 MZB524299 MPF524299 MFJ524299 LVN524299 LLR524299 LBV524299 KRZ524299 KID524299 JYH524299 JOL524299 JEP524299 IUT524299 IKX524299 IBB524299 HRF524299 HHJ524299 GXN524299 GNR524299 GDV524299 FTZ524299 FKD524299 FAH524299 EQL524299 EGP524299 DWT524299 DMX524299 DDB524299 CTF524299 CJJ524299 BZN524299 BPR524299 BFV524299 AVZ524299 AMD524299 ACH524299 SL524299 IP524299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WVB524293 WLF524293 WBJ524293 VRN524293 VHR524293 UXV524293 UNZ524293 UED524293 TUH524293 TKL524293 TAP524293 SQT524293 SGX524293 RXB524293 RNF524293 RDJ524293 QTN524293 QJR524293 PZV524293 PPZ524293 PGD524293 OWH524293 OML524293 OCP524293 NST524293 NIX524293 MZB524293 MPF524293 MFJ524293 LVN524293 LLR524293 LBV524293 KRZ524293 KID524293 JYH524293 JOL524293 JEP524293 IUT524293 IKX524293 IBB524293 HRF524293 HHJ524293 GXN524293 GNR524293 GDV524293 FTZ524293 FKD524293 FAH524293 EQL524293 EGP524293 DWT524293 DMX524293 DDB524293 CTF524293 CJJ524293 BZN524293 BPR524293 BFV524293 AVZ524293 AMD524293 ACH524293 SL524293 IP524293 WVB524291 WLF524291 WBJ524291 VRN524291 VHR524291 UXV524291 UNZ524291 UED524291 TUH524291 TKL524291 TAP524291 SQT524291 SGX524291 RXB524291 RNF524291 RDJ524291 QTN524291 QJR524291 PZV524291 PPZ524291 PGD524291 OWH524291 OML524291 OCP524291 NST524291 NIX524291 MZB524291 MPF524291 MFJ524291 LVN524291 LLR524291 LBV524291 KRZ524291 KID524291 JYH524291 JOL524291 JEP524291 IUT524291 IKX524291 IBB524291 HRF524291 HHJ524291 GXN524291 GNR524291 GDV524291 FTZ524291 FKD524291 FAH524291 EQL524291 EGP524291 DWT524291 DMX524291 DDB524291 CTF524291 CJJ524291 BZN524291 BPR524291 BFV524291 AVZ524291 AMD524291 ACH524291 SL524291 IP524291 WVB458772:WVB458777 WLF458772:WLF458777 WBJ458772:WBJ458777 VRN458772:VRN458777 VHR458772:VHR458777 UXV458772:UXV458777 UNZ458772:UNZ458777 UED458772:UED458777 TUH458772:TUH458777 TKL458772:TKL458777 TAP458772:TAP458777 SQT458772:SQT458777 SGX458772:SGX458777 RXB458772:RXB458777 RNF458772:RNF458777 RDJ458772:RDJ458777 QTN458772:QTN458777 QJR458772:QJR458777 PZV458772:PZV458777 PPZ458772:PPZ458777 PGD458772:PGD458777 OWH458772:OWH458777 OML458772:OML458777 OCP458772:OCP458777 NST458772:NST458777 NIX458772:NIX458777 MZB458772:MZB458777 MPF458772:MPF458777 MFJ458772:MFJ458777 LVN458772:LVN458777 LLR458772:LLR458777 LBV458772:LBV458777 KRZ458772:KRZ458777 KID458772:KID458777 JYH458772:JYH458777 JOL458772:JOL458777 JEP458772:JEP458777 IUT458772:IUT458777 IKX458772:IKX458777 IBB458772:IBB458777 HRF458772:HRF458777 HHJ458772:HHJ458777 GXN458772:GXN458777 GNR458772:GNR458777 GDV458772:GDV458777 FTZ458772:FTZ458777 FKD458772:FKD458777 FAH458772:FAH458777 EQL458772:EQL458777 EGP458772:EGP458777 DWT458772:DWT458777 DMX458772:DMX458777 DDB458772:DDB458777 CTF458772:CTF458777 CJJ458772:CJJ458777 BZN458772:BZN458777 BPR458772:BPR458777 BFV458772:BFV458777 AVZ458772:AVZ458777 AMD458772:AMD458777 ACH458772:ACH458777 SL458772:SL458777 IP458772:IP458777 WVB458763 WLF458763 WBJ458763 VRN458763 VHR458763 UXV458763 UNZ458763 UED458763 TUH458763 TKL458763 TAP458763 SQT458763 SGX458763 RXB458763 RNF458763 RDJ458763 QTN458763 QJR458763 PZV458763 PPZ458763 PGD458763 OWH458763 OML458763 OCP458763 NST458763 NIX458763 MZB458763 MPF458763 MFJ458763 LVN458763 LLR458763 LBV458763 KRZ458763 KID458763 JYH458763 JOL458763 JEP458763 IUT458763 IKX458763 IBB458763 HRF458763 HHJ458763 GXN458763 GNR458763 GDV458763 FTZ458763 FKD458763 FAH458763 EQL458763 EGP458763 DWT458763 DMX458763 DDB458763 CTF458763 CJJ458763 BZN458763 BPR458763 BFV458763 AVZ458763 AMD458763 ACH458763 SL458763 IP458763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WVB458757 WLF458757 WBJ458757 VRN458757 VHR458757 UXV458757 UNZ458757 UED458757 TUH458757 TKL458757 TAP458757 SQT458757 SGX458757 RXB458757 RNF458757 RDJ458757 QTN458757 QJR458757 PZV458757 PPZ458757 PGD458757 OWH458757 OML458757 OCP458757 NST458757 NIX458757 MZB458757 MPF458757 MFJ458757 LVN458757 LLR458757 LBV458757 KRZ458757 KID458757 JYH458757 JOL458757 JEP458757 IUT458757 IKX458757 IBB458757 HRF458757 HHJ458757 GXN458757 GNR458757 GDV458757 FTZ458757 FKD458757 FAH458757 EQL458757 EGP458757 DWT458757 DMX458757 DDB458757 CTF458757 CJJ458757 BZN458757 BPR458757 BFV458757 AVZ458757 AMD458757 ACH458757 SL458757 IP458757 WVB458755 WLF458755 WBJ458755 VRN458755 VHR458755 UXV458755 UNZ458755 UED458755 TUH458755 TKL458755 TAP458755 SQT458755 SGX458755 RXB458755 RNF458755 RDJ458755 QTN458755 QJR458755 PZV458755 PPZ458755 PGD458755 OWH458755 OML458755 OCP458755 NST458755 NIX458755 MZB458755 MPF458755 MFJ458755 LVN458755 LLR458755 LBV458755 KRZ458755 KID458755 JYH458755 JOL458755 JEP458755 IUT458755 IKX458755 IBB458755 HRF458755 HHJ458755 GXN458755 GNR458755 GDV458755 FTZ458755 FKD458755 FAH458755 EQL458755 EGP458755 DWT458755 DMX458755 DDB458755 CTF458755 CJJ458755 BZN458755 BPR458755 BFV458755 AVZ458755 AMD458755 ACH458755 SL458755 IP458755 WVB393236:WVB393241 WLF393236:WLF393241 WBJ393236:WBJ393241 VRN393236:VRN393241 VHR393236:VHR393241 UXV393236:UXV393241 UNZ393236:UNZ393241 UED393236:UED393241 TUH393236:TUH393241 TKL393236:TKL393241 TAP393236:TAP393241 SQT393236:SQT393241 SGX393236:SGX393241 RXB393236:RXB393241 RNF393236:RNF393241 RDJ393236:RDJ393241 QTN393236:QTN393241 QJR393236:QJR393241 PZV393236:PZV393241 PPZ393236:PPZ393241 PGD393236:PGD393241 OWH393236:OWH393241 OML393236:OML393241 OCP393236:OCP393241 NST393236:NST393241 NIX393236:NIX393241 MZB393236:MZB393241 MPF393236:MPF393241 MFJ393236:MFJ393241 LVN393236:LVN393241 LLR393236:LLR393241 LBV393236:LBV393241 KRZ393236:KRZ393241 KID393236:KID393241 JYH393236:JYH393241 JOL393236:JOL393241 JEP393236:JEP393241 IUT393236:IUT393241 IKX393236:IKX393241 IBB393236:IBB393241 HRF393236:HRF393241 HHJ393236:HHJ393241 GXN393236:GXN393241 GNR393236:GNR393241 GDV393236:GDV393241 FTZ393236:FTZ393241 FKD393236:FKD393241 FAH393236:FAH393241 EQL393236:EQL393241 EGP393236:EGP393241 DWT393236:DWT393241 DMX393236:DMX393241 DDB393236:DDB393241 CTF393236:CTF393241 CJJ393236:CJJ393241 BZN393236:BZN393241 BPR393236:BPR393241 BFV393236:BFV393241 AVZ393236:AVZ393241 AMD393236:AMD393241 ACH393236:ACH393241 SL393236:SL393241 IP393236:IP393241 WVB393227 WLF393227 WBJ393227 VRN393227 VHR393227 UXV393227 UNZ393227 UED393227 TUH393227 TKL393227 TAP393227 SQT393227 SGX393227 RXB393227 RNF393227 RDJ393227 QTN393227 QJR393227 PZV393227 PPZ393227 PGD393227 OWH393227 OML393227 OCP393227 NST393227 NIX393227 MZB393227 MPF393227 MFJ393227 LVN393227 LLR393227 LBV393227 KRZ393227 KID393227 JYH393227 JOL393227 JEP393227 IUT393227 IKX393227 IBB393227 HRF393227 HHJ393227 GXN393227 GNR393227 GDV393227 FTZ393227 FKD393227 FAH393227 EQL393227 EGP393227 DWT393227 DMX393227 DDB393227 CTF393227 CJJ393227 BZN393227 BPR393227 BFV393227 AVZ393227 AMD393227 ACH393227 SL393227 IP393227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WVB393221 WLF393221 WBJ393221 VRN393221 VHR393221 UXV393221 UNZ393221 UED393221 TUH393221 TKL393221 TAP393221 SQT393221 SGX393221 RXB393221 RNF393221 RDJ393221 QTN393221 QJR393221 PZV393221 PPZ393221 PGD393221 OWH393221 OML393221 OCP393221 NST393221 NIX393221 MZB393221 MPF393221 MFJ393221 LVN393221 LLR393221 LBV393221 KRZ393221 KID393221 JYH393221 JOL393221 JEP393221 IUT393221 IKX393221 IBB393221 HRF393221 HHJ393221 GXN393221 GNR393221 GDV393221 FTZ393221 FKD393221 FAH393221 EQL393221 EGP393221 DWT393221 DMX393221 DDB393221 CTF393221 CJJ393221 BZN393221 BPR393221 BFV393221 AVZ393221 AMD393221 ACH393221 SL393221 IP393221 WVB393219 WLF393219 WBJ393219 VRN393219 VHR393219 UXV393219 UNZ393219 UED393219 TUH393219 TKL393219 TAP393219 SQT393219 SGX393219 RXB393219 RNF393219 RDJ393219 QTN393219 QJR393219 PZV393219 PPZ393219 PGD393219 OWH393219 OML393219 OCP393219 NST393219 NIX393219 MZB393219 MPF393219 MFJ393219 LVN393219 LLR393219 LBV393219 KRZ393219 KID393219 JYH393219 JOL393219 JEP393219 IUT393219 IKX393219 IBB393219 HRF393219 HHJ393219 GXN393219 GNR393219 GDV393219 FTZ393219 FKD393219 FAH393219 EQL393219 EGP393219 DWT393219 DMX393219 DDB393219 CTF393219 CJJ393219 BZN393219 BPR393219 BFV393219 AVZ393219 AMD393219 ACH393219 SL393219 IP393219 WVB327700:WVB327705 WLF327700:WLF327705 WBJ327700:WBJ327705 VRN327700:VRN327705 VHR327700:VHR327705 UXV327700:UXV327705 UNZ327700:UNZ327705 UED327700:UED327705 TUH327700:TUH327705 TKL327700:TKL327705 TAP327700:TAP327705 SQT327700:SQT327705 SGX327700:SGX327705 RXB327700:RXB327705 RNF327700:RNF327705 RDJ327700:RDJ327705 QTN327700:QTN327705 QJR327700:QJR327705 PZV327700:PZV327705 PPZ327700:PPZ327705 PGD327700:PGD327705 OWH327700:OWH327705 OML327700:OML327705 OCP327700:OCP327705 NST327700:NST327705 NIX327700:NIX327705 MZB327700:MZB327705 MPF327700:MPF327705 MFJ327700:MFJ327705 LVN327700:LVN327705 LLR327700:LLR327705 LBV327700:LBV327705 KRZ327700:KRZ327705 KID327700:KID327705 JYH327700:JYH327705 JOL327700:JOL327705 JEP327700:JEP327705 IUT327700:IUT327705 IKX327700:IKX327705 IBB327700:IBB327705 HRF327700:HRF327705 HHJ327700:HHJ327705 GXN327700:GXN327705 GNR327700:GNR327705 GDV327700:GDV327705 FTZ327700:FTZ327705 FKD327700:FKD327705 FAH327700:FAH327705 EQL327700:EQL327705 EGP327700:EGP327705 DWT327700:DWT327705 DMX327700:DMX327705 DDB327700:DDB327705 CTF327700:CTF327705 CJJ327700:CJJ327705 BZN327700:BZN327705 BPR327700:BPR327705 BFV327700:BFV327705 AVZ327700:AVZ327705 AMD327700:AMD327705 ACH327700:ACH327705 SL327700:SL327705 IP327700:IP327705 WVB327691 WLF327691 WBJ327691 VRN327691 VHR327691 UXV327691 UNZ327691 UED327691 TUH327691 TKL327691 TAP327691 SQT327691 SGX327691 RXB327691 RNF327691 RDJ327691 QTN327691 QJR327691 PZV327691 PPZ327691 PGD327691 OWH327691 OML327691 OCP327691 NST327691 NIX327691 MZB327691 MPF327691 MFJ327691 LVN327691 LLR327691 LBV327691 KRZ327691 KID327691 JYH327691 JOL327691 JEP327691 IUT327691 IKX327691 IBB327691 HRF327691 HHJ327691 GXN327691 GNR327691 GDV327691 FTZ327691 FKD327691 FAH327691 EQL327691 EGP327691 DWT327691 DMX327691 DDB327691 CTF327691 CJJ327691 BZN327691 BPR327691 BFV327691 AVZ327691 AMD327691 ACH327691 SL327691 IP327691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WVB327685 WLF327685 WBJ327685 VRN327685 VHR327685 UXV327685 UNZ327685 UED327685 TUH327685 TKL327685 TAP327685 SQT327685 SGX327685 RXB327685 RNF327685 RDJ327685 QTN327685 QJR327685 PZV327685 PPZ327685 PGD327685 OWH327685 OML327685 OCP327685 NST327685 NIX327685 MZB327685 MPF327685 MFJ327685 LVN327685 LLR327685 LBV327685 KRZ327685 KID327685 JYH327685 JOL327685 JEP327685 IUT327685 IKX327685 IBB327685 HRF327685 HHJ327685 GXN327685 GNR327685 GDV327685 FTZ327685 FKD327685 FAH327685 EQL327685 EGP327685 DWT327685 DMX327685 DDB327685 CTF327685 CJJ327685 BZN327685 BPR327685 BFV327685 AVZ327685 AMD327685 ACH327685 SL327685 IP327685 WVB327683 WLF327683 WBJ327683 VRN327683 VHR327683 UXV327683 UNZ327683 UED327683 TUH327683 TKL327683 TAP327683 SQT327683 SGX327683 RXB327683 RNF327683 RDJ327683 QTN327683 QJR327683 PZV327683 PPZ327683 PGD327683 OWH327683 OML327683 OCP327683 NST327683 NIX327683 MZB327683 MPF327683 MFJ327683 LVN327683 LLR327683 LBV327683 KRZ327683 KID327683 JYH327683 JOL327683 JEP327683 IUT327683 IKX327683 IBB327683 HRF327683 HHJ327683 GXN327683 GNR327683 GDV327683 FTZ327683 FKD327683 FAH327683 EQL327683 EGP327683 DWT327683 DMX327683 DDB327683 CTF327683 CJJ327683 BZN327683 BPR327683 BFV327683 AVZ327683 AMD327683 ACH327683 SL327683 IP327683 WVB262164:WVB262169 WLF262164:WLF262169 WBJ262164:WBJ262169 VRN262164:VRN262169 VHR262164:VHR262169 UXV262164:UXV262169 UNZ262164:UNZ262169 UED262164:UED262169 TUH262164:TUH262169 TKL262164:TKL262169 TAP262164:TAP262169 SQT262164:SQT262169 SGX262164:SGX262169 RXB262164:RXB262169 RNF262164:RNF262169 RDJ262164:RDJ262169 QTN262164:QTN262169 QJR262164:QJR262169 PZV262164:PZV262169 PPZ262164:PPZ262169 PGD262164:PGD262169 OWH262164:OWH262169 OML262164:OML262169 OCP262164:OCP262169 NST262164:NST262169 NIX262164:NIX262169 MZB262164:MZB262169 MPF262164:MPF262169 MFJ262164:MFJ262169 LVN262164:LVN262169 LLR262164:LLR262169 LBV262164:LBV262169 KRZ262164:KRZ262169 KID262164:KID262169 JYH262164:JYH262169 JOL262164:JOL262169 JEP262164:JEP262169 IUT262164:IUT262169 IKX262164:IKX262169 IBB262164:IBB262169 HRF262164:HRF262169 HHJ262164:HHJ262169 GXN262164:GXN262169 GNR262164:GNR262169 GDV262164:GDV262169 FTZ262164:FTZ262169 FKD262164:FKD262169 FAH262164:FAH262169 EQL262164:EQL262169 EGP262164:EGP262169 DWT262164:DWT262169 DMX262164:DMX262169 DDB262164:DDB262169 CTF262164:CTF262169 CJJ262164:CJJ262169 BZN262164:BZN262169 BPR262164:BPR262169 BFV262164:BFV262169 AVZ262164:AVZ262169 AMD262164:AMD262169 ACH262164:ACH262169 SL262164:SL262169 IP262164:IP262169 WVB262155 WLF262155 WBJ262155 VRN262155 VHR262155 UXV262155 UNZ262155 UED262155 TUH262155 TKL262155 TAP262155 SQT262155 SGX262155 RXB262155 RNF262155 RDJ262155 QTN262155 QJR262155 PZV262155 PPZ262155 PGD262155 OWH262155 OML262155 OCP262155 NST262155 NIX262155 MZB262155 MPF262155 MFJ262155 LVN262155 LLR262155 LBV262155 KRZ262155 KID262155 JYH262155 JOL262155 JEP262155 IUT262155 IKX262155 IBB262155 HRF262155 HHJ262155 GXN262155 GNR262155 GDV262155 FTZ262155 FKD262155 FAH262155 EQL262155 EGP262155 DWT262155 DMX262155 DDB262155 CTF262155 CJJ262155 BZN262155 BPR262155 BFV262155 AVZ262155 AMD262155 ACH262155 SL262155 IP262155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WVB262149 WLF262149 WBJ262149 VRN262149 VHR262149 UXV262149 UNZ262149 UED262149 TUH262149 TKL262149 TAP262149 SQT262149 SGX262149 RXB262149 RNF262149 RDJ262149 QTN262149 QJR262149 PZV262149 PPZ262149 PGD262149 OWH262149 OML262149 OCP262149 NST262149 NIX262149 MZB262149 MPF262149 MFJ262149 LVN262149 LLR262149 LBV262149 KRZ262149 KID262149 JYH262149 JOL262149 JEP262149 IUT262149 IKX262149 IBB262149 HRF262149 HHJ262149 GXN262149 GNR262149 GDV262149 FTZ262149 FKD262149 FAH262149 EQL262149 EGP262149 DWT262149 DMX262149 DDB262149 CTF262149 CJJ262149 BZN262149 BPR262149 BFV262149 AVZ262149 AMD262149 ACH262149 SL262149 IP262149 WVB262147 WLF262147 WBJ262147 VRN262147 VHR262147 UXV262147 UNZ262147 UED262147 TUH262147 TKL262147 TAP262147 SQT262147 SGX262147 RXB262147 RNF262147 RDJ262147 QTN262147 QJR262147 PZV262147 PPZ262147 PGD262147 OWH262147 OML262147 OCP262147 NST262147 NIX262147 MZB262147 MPF262147 MFJ262147 LVN262147 LLR262147 LBV262147 KRZ262147 KID262147 JYH262147 JOL262147 JEP262147 IUT262147 IKX262147 IBB262147 HRF262147 HHJ262147 GXN262147 GNR262147 GDV262147 FTZ262147 FKD262147 FAH262147 EQL262147 EGP262147 DWT262147 DMX262147 DDB262147 CTF262147 CJJ262147 BZN262147 BPR262147 BFV262147 AVZ262147 AMD262147 ACH262147 SL262147 IP262147 WVB196628:WVB196633 WLF196628:WLF196633 WBJ196628:WBJ196633 VRN196628:VRN196633 VHR196628:VHR196633 UXV196628:UXV196633 UNZ196628:UNZ196633 UED196628:UED196633 TUH196628:TUH196633 TKL196628:TKL196633 TAP196628:TAP196633 SQT196628:SQT196633 SGX196628:SGX196633 RXB196628:RXB196633 RNF196628:RNF196633 RDJ196628:RDJ196633 QTN196628:QTN196633 QJR196628:QJR196633 PZV196628:PZV196633 PPZ196628:PPZ196633 PGD196628:PGD196633 OWH196628:OWH196633 OML196628:OML196633 OCP196628:OCP196633 NST196628:NST196633 NIX196628:NIX196633 MZB196628:MZB196633 MPF196628:MPF196633 MFJ196628:MFJ196633 LVN196628:LVN196633 LLR196628:LLR196633 LBV196628:LBV196633 KRZ196628:KRZ196633 KID196628:KID196633 JYH196628:JYH196633 JOL196628:JOL196633 JEP196628:JEP196633 IUT196628:IUT196633 IKX196628:IKX196633 IBB196628:IBB196633 HRF196628:HRF196633 HHJ196628:HHJ196633 GXN196628:GXN196633 GNR196628:GNR196633 GDV196628:GDV196633 FTZ196628:FTZ196633 FKD196628:FKD196633 FAH196628:FAH196633 EQL196628:EQL196633 EGP196628:EGP196633 DWT196628:DWT196633 DMX196628:DMX196633 DDB196628:DDB196633 CTF196628:CTF196633 CJJ196628:CJJ196633 BZN196628:BZN196633 BPR196628:BPR196633 BFV196628:BFV196633 AVZ196628:AVZ196633 AMD196628:AMD196633 ACH196628:ACH196633 SL196628:SL196633 IP196628:IP196633 WVB196619 WLF196619 WBJ196619 VRN196619 VHR196619 UXV196619 UNZ196619 UED196619 TUH196619 TKL196619 TAP196619 SQT196619 SGX196619 RXB196619 RNF196619 RDJ196619 QTN196619 QJR196619 PZV196619 PPZ196619 PGD196619 OWH196619 OML196619 OCP196619 NST196619 NIX196619 MZB196619 MPF196619 MFJ196619 LVN196619 LLR196619 LBV196619 KRZ196619 KID196619 JYH196619 JOL196619 JEP196619 IUT196619 IKX196619 IBB196619 HRF196619 HHJ196619 GXN196619 GNR196619 GDV196619 FTZ196619 FKD196619 FAH196619 EQL196619 EGP196619 DWT196619 DMX196619 DDB196619 CTF196619 CJJ196619 BZN196619 BPR196619 BFV196619 AVZ196619 AMD196619 ACH196619 SL196619 IP196619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WVB196613 WLF196613 WBJ196613 VRN196613 VHR196613 UXV196613 UNZ196613 UED196613 TUH196613 TKL196613 TAP196613 SQT196613 SGX196613 RXB196613 RNF196613 RDJ196613 QTN196613 QJR196613 PZV196613 PPZ196613 PGD196613 OWH196613 OML196613 OCP196613 NST196613 NIX196613 MZB196613 MPF196613 MFJ196613 LVN196613 LLR196613 LBV196613 KRZ196613 KID196613 JYH196613 JOL196613 JEP196613 IUT196613 IKX196613 IBB196613 HRF196613 HHJ196613 GXN196613 GNR196613 GDV196613 FTZ196613 FKD196613 FAH196613 EQL196613 EGP196613 DWT196613 DMX196613 DDB196613 CTF196613 CJJ196613 BZN196613 BPR196613 BFV196613 AVZ196613 AMD196613 ACH196613 SL196613 IP196613 WVB196611 WLF196611 WBJ196611 VRN196611 VHR196611 UXV196611 UNZ196611 UED196611 TUH196611 TKL196611 TAP196611 SQT196611 SGX196611 RXB196611 RNF196611 RDJ196611 QTN196611 QJR196611 PZV196611 PPZ196611 PGD196611 OWH196611 OML196611 OCP196611 NST196611 NIX196611 MZB196611 MPF196611 MFJ196611 LVN196611 LLR196611 LBV196611 KRZ196611 KID196611 JYH196611 JOL196611 JEP196611 IUT196611 IKX196611 IBB196611 HRF196611 HHJ196611 GXN196611 GNR196611 GDV196611 FTZ196611 FKD196611 FAH196611 EQL196611 EGP196611 DWT196611 DMX196611 DDB196611 CTF196611 CJJ196611 BZN196611 BPR196611 BFV196611 AVZ196611 AMD196611 ACH196611 SL196611 IP196611 WVB131092:WVB131097 WLF131092:WLF131097 WBJ131092:WBJ131097 VRN131092:VRN131097 VHR131092:VHR131097 UXV131092:UXV131097 UNZ131092:UNZ131097 UED131092:UED131097 TUH131092:TUH131097 TKL131092:TKL131097 TAP131092:TAP131097 SQT131092:SQT131097 SGX131092:SGX131097 RXB131092:RXB131097 RNF131092:RNF131097 RDJ131092:RDJ131097 QTN131092:QTN131097 QJR131092:QJR131097 PZV131092:PZV131097 PPZ131092:PPZ131097 PGD131092:PGD131097 OWH131092:OWH131097 OML131092:OML131097 OCP131092:OCP131097 NST131092:NST131097 NIX131092:NIX131097 MZB131092:MZB131097 MPF131092:MPF131097 MFJ131092:MFJ131097 LVN131092:LVN131097 LLR131092:LLR131097 LBV131092:LBV131097 KRZ131092:KRZ131097 KID131092:KID131097 JYH131092:JYH131097 JOL131092:JOL131097 JEP131092:JEP131097 IUT131092:IUT131097 IKX131092:IKX131097 IBB131092:IBB131097 HRF131092:HRF131097 HHJ131092:HHJ131097 GXN131092:GXN131097 GNR131092:GNR131097 GDV131092:GDV131097 FTZ131092:FTZ131097 FKD131092:FKD131097 FAH131092:FAH131097 EQL131092:EQL131097 EGP131092:EGP131097 DWT131092:DWT131097 DMX131092:DMX131097 DDB131092:DDB131097 CTF131092:CTF131097 CJJ131092:CJJ131097 BZN131092:BZN131097 BPR131092:BPR131097 BFV131092:BFV131097 AVZ131092:AVZ131097 AMD131092:AMD131097 ACH131092:ACH131097 SL131092:SL131097 IP131092:IP131097 WVB131083 WLF131083 WBJ131083 VRN131083 VHR131083 UXV131083 UNZ131083 UED131083 TUH131083 TKL131083 TAP131083 SQT131083 SGX131083 RXB131083 RNF131083 RDJ131083 QTN131083 QJR131083 PZV131083 PPZ131083 PGD131083 OWH131083 OML131083 OCP131083 NST131083 NIX131083 MZB131083 MPF131083 MFJ131083 LVN131083 LLR131083 LBV131083 KRZ131083 KID131083 JYH131083 JOL131083 JEP131083 IUT131083 IKX131083 IBB131083 HRF131083 HHJ131083 GXN131083 GNR131083 GDV131083 FTZ131083 FKD131083 FAH131083 EQL131083 EGP131083 DWT131083 DMX131083 DDB131083 CTF131083 CJJ131083 BZN131083 BPR131083 BFV131083 AVZ131083 AMD131083 ACH131083 SL131083 IP131083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WVB131077 WLF131077 WBJ131077 VRN131077 VHR131077 UXV131077 UNZ131077 UED131077 TUH131077 TKL131077 TAP131077 SQT131077 SGX131077 RXB131077 RNF131077 RDJ131077 QTN131077 QJR131077 PZV131077 PPZ131077 PGD131077 OWH131077 OML131077 OCP131077 NST131077 NIX131077 MZB131077 MPF131077 MFJ131077 LVN131077 LLR131077 LBV131077 KRZ131077 KID131077 JYH131077 JOL131077 JEP131077 IUT131077 IKX131077 IBB131077 HRF131077 HHJ131077 GXN131077 GNR131077 GDV131077 FTZ131077 FKD131077 FAH131077 EQL131077 EGP131077 DWT131077 DMX131077 DDB131077 CTF131077 CJJ131077 BZN131077 BPR131077 BFV131077 AVZ131077 AMD131077 ACH131077 SL131077 IP131077 WVB131075 WLF131075 WBJ131075 VRN131075 VHR131075 UXV131075 UNZ131075 UED131075 TUH131075 TKL131075 TAP131075 SQT131075 SGX131075 RXB131075 RNF131075 RDJ131075 QTN131075 QJR131075 PZV131075 PPZ131075 PGD131075 OWH131075 OML131075 OCP131075 NST131075 NIX131075 MZB131075 MPF131075 MFJ131075 LVN131075 LLR131075 LBV131075 KRZ131075 KID131075 JYH131075 JOL131075 JEP131075 IUT131075 IKX131075 IBB131075 HRF131075 HHJ131075 GXN131075 GNR131075 GDV131075 FTZ131075 FKD131075 FAH131075 EQL131075 EGP131075 DWT131075 DMX131075 DDB131075 CTF131075 CJJ131075 BZN131075 BPR131075 BFV131075 AVZ131075 AMD131075 ACH131075 SL131075 IP131075 WVB65556:WVB65561 WLF65556:WLF65561 WBJ65556:WBJ65561 VRN65556:VRN65561 VHR65556:VHR65561 UXV65556:UXV65561 UNZ65556:UNZ65561 UED65556:UED65561 TUH65556:TUH65561 TKL65556:TKL65561 TAP65556:TAP65561 SQT65556:SQT65561 SGX65556:SGX65561 RXB65556:RXB65561 RNF65556:RNF65561 RDJ65556:RDJ65561 QTN65556:QTN65561 QJR65556:QJR65561 PZV65556:PZV65561 PPZ65556:PPZ65561 PGD65556:PGD65561 OWH65556:OWH65561 OML65556:OML65561 OCP65556:OCP65561 NST65556:NST65561 NIX65556:NIX65561 MZB65556:MZB65561 MPF65556:MPF65561 MFJ65556:MFJ65561 LVN65556:LVN65561 LLR65556:LLR65561 LBV65556:LBV65561 KRZ65556:KRZ65561 KID65556:KID65561 JYH65556:JYH65561 JOL65556:JOL65561 JEP65556:JEP65561 IUT65556:IUT65561 IKX65556:IKX65561 IBB65556:IBB65561 HRF65556:HRF65561 HHJ65556:HHJ65561 GXN65556:GXN65561 GNR65556:GNR65561 GDV65556:GDV65561 FTZ65556:FTZ65561 FKD65556:FKD65561 FAH65556:FAH65561 EQL65556:EQL65561 EGP65556:EGP65561 DWT65556:DWT65561 DMX65556:DMX65561 DDB65556:DDB65561 CTF65556:CTF65561 CJJ65556:CJJ65561 BZN65556:BZN65561 BPR65556:BPR65561 BFV65556:BFV65561 AVZ65556:AVZ65561 AMD65556:AMD65561 ACH65556:ACH65561 SL65556:SL65561 IP65556:IP65561 WVB65547 WLF65547 WBJ65547 VRN65547 VHR65547 UXV65547 UNZ65547 UED65547 TUH65547 TKL65547 TAP65547 SQT65547 SGX65547 RXB65547 RNF65547 RDJ65547 QTN65547 QJR65547 PZV65547 PPZ65547 PGD65547 OWH65547 OML65547 OCP65547 NST65547 NIX65547 MZB65547 MPF65547 MFJ65547 LVN65547 LLR65547 LBV65547 KRZ65547 KID65547 JYH65547 JOL65547 JEP65547 IUT65547 IKX65547 IBB65547 HRF65547 HHJ65547 GXN65547 GNR65547 GDV65547 FTZ65547 FKD65547 FAH65547 EQL65547 EGP65547 DWT65547 DMX65547 DDB65547 CTF65547 CJJ65547 BZN65547 BPR65547 BFV65547 AVZ65547 AMD65547 ACH65547 SL65547 IP65547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WVB65541 WLF65541 WBJ65541 VRN65541 VHR65541 UXV65541 UNZ65541 UED65541 TUH65541 TKL65541 TAP65541 SQT65541 SGX65541 RXB65541 RNF65541 RDJ65541 QTN65541 QJR65541 PZV65541 PPZ65541 PGD65541 OWH65541 OML65541 OCP65541 NST65541 NIX65541 MZB65541 MPF65541 MFJ65541 LVN65541 LLR65541 LBV65541 KRZ65541 KID65541 JYH65541 JOL65541 JEP65541 IUT65541 IKX65541 IBB65541 HRF65541 HHJ65541 GXN65541 GNR65541 GDV65541 FTZ65541 FKD65541 FAH65541 EQL65541 EGP65541 DWT65541 DMX65541 DDB65541 CTF65541 CJJ65541 BZN65541 BPR65541 BFV65541 AVZ65541 AMD65541 ACH65541 SL65541 IP65541 WVB65539 WLF65539 WBJ65539 VRN65539 VHR65539 UXV65539 UNZ65539 UED65539 TUH65539 TKL65539 TAP65539 SQT65539 SGX65539 RXB65539 RNF65539 RDJ65539 QTN65539 QJR65539 PZV65539 PPZ65539 PGD65539 OWH65539 OML65539 OCP65539 NST65539 NIX65539 MZB65539 MPF65539 MFJ65539 LVN65539 LLR65539 LBV65539 KRZ65539 KID65539 JYH65539 JOL65539 JEP65539 IUT65539 IKX65539 IBB65539 HRF65539 HHJ65539 GXN65539 GNR65539 GDV65539 FTZ65539 FKD65539 FAH65539 EQL65539 EGP65539 DWT65539 DMX65539 DDB65539 CTF65539 CJJ65539 BZN65539 BPR65539 BFV65539 AVZ65539 AMD65539 ACH65539 SL65539 IP65539 IP131089:IP131090 WVB983115:WVB983118 WVB983057:WVB983058 WVB917521:WVB917522 WVB851985:WVB851986 WVB786449:WVB786450 WVB720913:WVB720914 WVB655377:WVB655378 WVB589841:WVB589842 WVB524305:WVB524306 WVB458769:WVB458770 WVB393233:WVB393234 WVB327697:WVB327698 WVB262161:WVB262162 WVB196625:WVB196626 WVB131089:WVB131090 WVB65553:WVB65554 WLF983057:WLF983058 WLF917521:WLF917522 WLF851985:WLF851986 WLF786449:WLF786450 WLF720913:WLF720914 WLF655377:WLF655378 WLF589841:WLF589842 WLF524305:WLF524306 WLF458769:WLF458770 WLF393233:WLF393234 WLF327697:WLF327698 WLF262161:WLF262162 WLF196625:WLF196626 WLF131089:WLF131090 WLF65553:WLF65554 WBJ983057:WBJ983058 WBJ917521:WBJ917522 WBJ851985:WBJ851986 WBJ786449:WBJ786450 WBJ720913:WBJ720914 WBJ655377:WBJ655378 WBJ589841:WBJ589842 WBJ524305:WBJ524306 WBJ458769:WBJ458770 WBJ393233:WBJ393234 WBJ327697:WBJ327698 WBJ262161:WBJ262162 WBJ196625:WBJ196626 WBJ131089:WBJ131090 WBJ65553:WBJ65554 VRN983057:VRN983058 VRN917521:VRN917522 VRN851985:VRN851986 VRN786449:VRN786450 VRN720913:VRN720914 VRN655377:VRN655378 VRN589841:VRN589842 VRN524305:VRN524306 VRN458769:VRN458770 VRN393233:VRN393234 VRN327697:VRN327698 VRN262161:VRN262162 VRN196625:VRN196626 VRN131089:VRN131090 VRN65553:VRN65554 VHR983057:VHR983058 VHR917521:VHR917522 VHR851985:VHR851986 VHR786449:VHR786450 VHR720913:VHR720914 VHR655377:VHR655378 VHR589841:VHR589842 VHR524305:VHR524306 VHR458769:VHR458770 VHR393233:VHR393234 VHR327697:VHR327698 VHR262161:VHR262162 VHR196625:VHR196626 VHR131089:VHR131090 VHR65553:VHR65554 UXV983057:UXV983058 UXV917521:UXV917522 UXV851985:UXV851986 UXV786449:UXV786450 UXV720913:UXV720914 UXV655377:UXV655378 UXV589841:UXV589842 UXV524305:UXV524306 UXV458769:UXV458770 UXV393233:UXV393234 UXV327697:UXV327698 UXV262161:UXV262162 UXV196625:UXV196626 UXV131089:UXV131090 UXV65553:UXV65554 UNZ983057:UNZ983058 UNZ917521:UNZ917522 UNZ851985:UNZ851986 UNZ786449:UNZ786450 UNZ720913:UNZ720914 UNZ655377:UNZ655378 UNZ589841:UNZ589842 UNZ524305:UNZ524306 UNZ458769:UNZ458770 UNZ393233:UNZ393234 UNZ327697:UNZ327698 UNZ262161:UNZ262162 UNZ196625:UNZ196626 UNZ131089:UNZ131090 UNZ65553:UNZ65554 UED983057:UED983058 UED917521:UED917522 UED851985:UED851986 UED786449:UED786450 UED720913:UED720914 UED655377:UED655378 UED589841:UED589842 UED524305:UED524306 UED458769:UED458770 UED393233:UED393234 UED327697:UED327698 UED262161:UED262162 UED196625:UED196626 UED131089:UED131090 UED65553:UED65554 TUH983057:TUH983058 TUH917521:TUH917522 TUH851985:TUH851986 TUH786449:TUH786450 TUH720913:TUH720914 TUH655377:TUH655378 TUH589841:TUH589842 TUH524305:TUH524306 TUH458769:TUH458770 TUH393233:TUH393234 TUH327697:TUH327698 TUH262161:TUH262162 TUH196625:TUH196626 TUH131089:TUH131090 TUH65553:TUH65554 TKL983057:TKL983058 TKL917521:TKL917522 TKL851985:TKL851986 TKL786449:TKL786450 TKL720913:TKL720914 TKL655377:TKL655378 TKL589841:TKL589842 TKL524305:TKL524306 TKL458769:TKL458770 TKL393233:TKL393234 TKL327697:TKL327698 TKL262161:TKL262162 TKL196625:TKL196626 TKL131089:TKL131090 TKL65553:TKL65554 TAP983057:TAP983058 TAP917521:TAP917522 TAP851985:TAP851986 TAP786449:TAP786450 TAP720913:TAP720914 TAP655377:TAP655378 TAP589841:TAP589842 TAP524305:TAP524306 TAP458769:TAP458770 TAP393233:TAP393234 TAP327697:TAP327698 TAP262161:TAP262162 TAP196625:TAP196626 TAP131089:TAP131090 TAP65553:TAP65554 SQT983057:SQT983058 SQT917521:SQT917522 SQT851985:SQT851986 SQT786449:SQT786450 SQT720913:SQT720914 SQT655377:SQT655378 SQT589841:SQT589842 SQT524305:SQT524306 SQT458769:SQT458770 SQT393233:SQT393234 SQT327697:SQT327698 SQT262161:SQT262162 SQT196625:SQT196626 SQT131089:SQT131090 SQT65553:SQT65554 SGX983057:SGX983058 SGX917521:SGX917522 SGX851985:SGX851986 SGX786449:SGX786450 SGX720913:SGX720914 SGX655377:SGX655378 SGX589841:SGX589842 SGX524305:SGX524306 SGX458769:SGX458770 SGX393233:SGX393234 SGX327697:SGX327698 SGX262161:SGX262162 SGX196625:SGX196626 SGX131089:SGX131090 SGX65553:SGX65554 RXB983057:RXB983058 RXB917521:RXB917522 RXB851985:RXB851986 RXB786449:RXB786450 RXB720913:RXB720914 RXB655377:RXB655378 RXB589841:RXB589842 RXB524305:RXB524306 RXB458769:RXB458770 RXB393233:RXB393234 RXB327697:RXB327698 RXB262161:RXB262162 RXB196625:RXB196626 RXB131089:RXB131090 RXB65553:RXB65554 RNF983057:RNF983058 RNF917521:RNF917522 RNF851985:RNF851986 RNF786449:RNF786450 RNF720913:RNF720914 RNF655377:RNF655378 RNF589841:RNF589842 RNF524305:RNF524306 RNF458769:RNF458770 RNF393233:RNF393234 RNF327697:RNF327698 RNF262161:RNF262162 RNF196625:RNF196626 RNF131089:RNF131090 RNF65553:RNF65554 RDJ983057:RDJ983058 RDJ917521:RDJ917522 RDJ851985:RDJ851986 RDJ786449:RDJ786450 RDJ720913:RDJ720914 RDJ655377:RDJ655378 RDJ589841:RDJ589842 RDJ524305:RDJ524306 RDJ458769:RDJ458770 RDJ393233:RDJ393234 RDJ327697:RDJ327698 RDJ262161:RDJ262162 RDJ196625:RDJ196626 RDJ131089:RDJ131090 RDJ65553:RDJ65554 QTN983057:QTN983058 QTN917521:QTN917522 QTN851985:QTN851986 QTN786449:QTN786450 QTN720913:QTN720914 QTN655377:QTN655378 QTN589841:QTN589842 QTN524305:QTN524306 QTN458769:QTN458770 QTN393233:QTN393234 QTN327697:QTN327698 QTN262161:QTN262162 QTN196625:QTN196626 QTN131089:QTN131090 QTN65553:QTN65554 QJR983057:QJR983058 QJR917521:QJR917522 QJR851985:QJR851986 QJR786449:QJR786450 QJR720913:QJR720914 QJR655377:QJR655378 QJR589841:QJR589842 QJR524305:QJR524306 QJR458769:QJR458770 QJR393233:QJR393234 QJR327697:QJR327698 QJR262161:QJR262162 QJR196625:QJR196626 QJR131089:QJR131090 QJR65553:QJR65554 PZV983057:PZV983058 PZV917521:PZV917522 PZV851985:PZV851986 PZV786449:PZV786450 PZV720913:PZV720914 PZV655377:PZV655378 PZV589841:PZV589842 PZV524305:PZV524306 PZV458769:PZV458770 PZV393233:PZV393234 PZV327697:PZV327698 PZV262161:PZV262162 PZV196625:PZV196626 PZV131089:PZV131090 PZV65553:PZV65554 PPZ983057:PPZ983058 PPZ917521:PPZ917522 PPZ851985:PPZ851986 PPZ786449:PPZ786450 PPZ720913:PPZ720914 PPZ655377:PPZ655378 PPZ589841:PPZ589842 PPZ524305:PPZ524306 PPZ458769:PPZ458770 PPZ393233:PPZ393234 PPZ327697:PPZ327698 PPZ262161:PPZ262162 PPZ196625:PPZ196626 PPZ131089:PPZ131090 PPZ65553:PPZ65554 PGD983057:PGD983058 PGD917521:PGD917522 PGD851985:PGD851986 PGD786449:PGD786450 PGD720913:PGD720914 PGD655377:PGD655378 PGD589841:PGD589842 PGD524305:PGD524306 PGD458769:PGD458770 PGD393233:PGD393234 PGD327697:PGD327698 PGD262161:PGD262162 PGD196625:PGD196626 PGD131089:PGD131090 PGD65553:PGD65554 OWH983057:OWH983058 OWH917521:OWH917522 OWH851985:OWH851986 OWH786449:OWH786450 OWH720913:OWH720914 OWH655377:OWH655378 OWH589841:OWH589842 OWH524305:OWH524306 OWH458769:OWH458770 OWH393233:OWH393234 OWH327697:OWH327698 OWH262161:OWH262162 OWH196625:OWH196626 OWH131089:OWH131090 OWH65553:OWH65554 OML983057:OML983058 OML917521:OML917522 OML851985:OML851986 OML786449:OML786450 OML720913:OML720914 OML655377:OML655378 OML589841:OML589842 OML524305:OML524306 OML458769:OML458770 OML393233:OML393234 OML327697:OML327698 OML262161:OML262162 OML196625:OML196626 OML131089:OML131090 OML65553:OML65554 OCP983057:OCP983058 OCP917521:OCP917522 OCP851985:OCP851986 OCP786449:OCP786450 OCP720913:OCP720914 OCP655377:OCP655378 OCP589841:OCP589842 OCP524305:OCP524306 OCP458769:OCP458770 OCP393233:OCP393234 OCP327697:OCP327698 OCP262161:OCP262162 OCP196625:OCP196626 OCP131089:OCP131090 OCP65553:OCP65554 NST983057:NST983058 NST917521:NST917522 NST851985:NST851986 NST786449:NST786450 NST720913:NST720914 NST655377:NST655378 NST589841:NST589842 NST524305:NST524306 NST458769:NST458770 NST393233:NST393234 NST327697:NST327698 NST262161:NST262162 NST196625:NST196626 NST131089:NST131090 NST65553:NST65554 NIX983057:NIX983058 NIX917521:NIX917522 NIX851985:NIX851986 NIX786449:NIX786450 NIX720913:NIX720914 NIX655377:NIX655378 NIX589841:NIX589842 NIX524305:NIX524306 NIX458769:NIX458770 NIX393233:NIX393234 NIX327697:NIX327698 NIX262161:NIX262162 NIX196625:NIX196626 NIX131089:NIX131090 NIX65553:NIX65554 MZB983057:MZB983058 MZB917521:MZB917522 MZB851985:MZB851986 MZB786449:MZB786450 MZB720913:MZB720914 MZB655377:MZB655378 MZB589841:MZB589842 MZB524305:MZB524306 MZB458769:MZB458770 MZB393233:MZB393234 MZB327697:MZB327698 MZB262161:MZB262162 MZB196625:MZB196626 MZB131089:MZB131090 MZB65553:MZB65554 MPF983057:MPF983058 MPF917521:MPF917522 MPF851985:MPF851986 MPF786449:MPF786450 MPF720913:MPF720914 MPF655377:MPF655378 MPF589841:MPF589842 MPF524305:MPF524306 MPF458769:MPF458770 MPF393233:MPF393234 MPF327697:MPF327698 MPF262161:MPF262162 MPF196625:MPF196626 MPF131089:MPF131090 MPF65553:MPF65554 MFJ983057:MFJ983058 MFJ917521:MFJ917522 MFJ851985:MFJ851986 MFJ786449:MFJ786450 MFJ720913:MFJ720914 MFJ655377:MFJ655378 MFJ589841:MFJ589842 MFJ524305:MFJ524306 MFJ458769:MFJ458770 MFJ393233:MFJ393234 MFJ327697:MFJ327698 MFJ262161:MFJ262162 MFJ196625:MFJ196626 MFJ131089:MFJ131090 MFJ65553:MFJ65554 LVN983057:LVN983058 LVN917521:LVN917522 LVN851985:LVN851986 LVN786449:LVN786450 LVN720913:LVN720914 LVN655377:LVN655378 LVN589841:LVN589842 LVN524305:LVN524306 LVN458769:LVN458770 LVN393233:LVN393234 LVN327697:LVN327698 LVN262161:LVN262162 LVN196625:LVN196626 LVN131089:LVN131090 LVN65553:LVN65554 LLR983057:LLR983058 LLR917521:LLR917522 LLR851985:LLR851986 LLR786449:LLR786450 LLR720913:LLR720914 LLR655377:LLR655378 LLR589841:LLR589842 LLR524305:LLR524306 LLR458769:LLR458770 LLR393233:LLR393234 LLR327697:LLR327698 LLR262161:LLR262162 LLR196625:LLR196626 LLR131089:LLR131090 LLR65553:LLR65554 LBV983057:LBV983058 LBV917521:LBV917522 LBV851985:LBV851986 LBV786449:LBV786450 LBV720913:LBV720914 LBV655377:LBV655378 LBV589841:LBV589842 LBV524305:LBV524306 LBV458769:LBV458770 LBV393233:LBV393234 LBV327697:LBV327698 LBV262161:LBV262162 LBV196625:LBV196626 LBV131089:LBV131090 LBV65553:LBV65554 KRZ983057:KRZ983058 KRZ917521:KRZ917522 KRZ851985:KRZ851986 KRZ786449:KRZ786450 KRZ720913:KRZ720914 KRZ655377:KRZ655378 KRZ589841:KRZ589842 KRZ524305:KRZ524306 KRZ458769:KRZ458770 KRZ393233:KRZ393234 KRZ327697:KRZ327698 KRZ262161:KRZ262162 KRZ196625:KRZ196626 KRZ131089:KRZ131090 KRZ65553:KRZ65554 KID983057:KID983058 KID917521:KID917522 KID851985:KID851986 KID786449:KID786450 KID720913:KID720914 KID655377:KID655378 KID589841:KID589842 KID524305:KID524306 KID458769:KID458770 KID393233:KID393234 KID327697:KID327698 KID262161:KID262162 KID196625:KID196626 KID131089:KID131090 KID65553:KID65554 JYH983057:JYH983058 JYH917521:JYH917522 JYH851985:JYH851986 JYH786449:JYH786450 JYH720913:JYH720914 JYH655377:JYH655378 JYH589841:JYH589842 JYH524305:JYH524306 JYH458769:JYH458770 JYH393233:JYH393234 JYH327697:JYH327698 JYH262161:JYH262162 JYH196625:JYH196626 JYH131089:JYH131090 JYH65553:JYH65554 JOL983057:JOL983058 JOL917521:JOL917522 JOL851985:JOL851986 JOL786449:JOL786450 JOL720913:JOL720914 JOL655377:JOL655378 JOL589841:JOL589842 JOL524305:JOL524306 JOL458769:JOL458770 JOL393233:JOL393234 JOL327697:JOL327698 JOL262161:JOL262162 JOL196625:JOL196626 JOL131089:JOL131090 JOL65553:JOL65554 JEP983057:JEP983058 JEP917521:JEP917522 JEP851985:JEP851986 JEP786449:JEP786450 JEP720913:JEP720914 JEP655377:JEP655378 JEP589841:JEP589842 JEP524305:JEP524306 JEP458769:JEP458770 JEP393233:JEP393234 JEP327697:JEP327698 JEP262161:JEP262162 JEP196625:JEP196626 JEP131089:JEP131090 JEP65553:JEP65554 IUT983057:IUT983058 IUT917521:IUT917522 IUT851985:IUT851986 IUT786449:IUT786450 IUT720913:IUT720914 IUT655377:IUT655378 IUT589841:IUT589842 IUT524305:IUT524306 IUT458769:IUT458770 IUT393233:IUT393234 IUT327697:IUT327698 IUT262161:IUT262162 IUT196625:IUT196626 IUT131089:IUT131090 IUT65553:IUT65554 IKX983057:IKX983058 IKX917521:IKX917522 IKX851985:IKX851986 IKX786449:IKX786450 IKX720913:IKX720914 IKX655377:IKX655378 IKX589841:IKX589842 IKX524305:IKX524306 IKX458769:IKX458770 IKX393233:IKX393234 IKX327697:IKX327698 IKX262161:IKX262162 IKX196625:IKX196626 IKX131089:IKX131090 IKX65553:IKX65554 IBB983057:IBB983058 IBB917521:IBB917522 IBB851985:IBB851986 IBB786449:IBB786450 IBB720913:IBB720914 IBB655377:IBB655378 IBB589841:IBB589842 IBB524305:IBB524306 IBB458769:IBB458770 IBB393233:IBB393234 IBB327697:IBB327698 IBB262161:IBB262162 IBB196625:IBB196626 IBB131089:IBB131090 IBB65553:IBB65554 HRF983057:HRF983058 HRF917521:HRF917522 HRF851985:HRF851986 HRF786449:HRF786450 HRF720913:HRF720914 HRF655377:HRF655378 HRF589841:HRF589842 HRF524305:HRF524306 HRF458769:HRF458770 HRF393233:HRF393234 HRF327697:HRF327698 HRF262161:HRF262162 HRF196625:HRF196626 HRF131089:HRF131090 HRF65553:HRF65554 HHJ983057:HHJ983058 HHJ917521:HHJ917522 HHJ851985:HHJ851986 HHJ786449:HHJ786450 HHJ720913:HHJ720914 HHJ655377:HHJ655378 HHJ589841:HHJ589842 HHJ524305:HHJ524306 HHJ458769:HHJ458770 HHJ393233:HHJ393234 HHJ327697:HHJ327698 HHJ262161:HHJ262162 HHJ196625:HHJ196626 HHJ131089:HHJ131090 HHJ65553:HHJ65554 GXN983057:GXN983058 GXN917521:GXN917522 GXN851985:GXN851986 GXN786449:GXN786450 GXN720913:GXN720914 GXN655377:GXN655378 GXN589841:GXN589842 GXN524305:GXN524306 GXN458769:GXN458770 GXN393233:GXN393234 GXN327697:GXN327698 GXN262161:GXN262162 GXN196625:GXN196626 GXN131089:GXN131090 GXN65553:GXN65554 GNR983057:GNR983058 GNR917521:GNR917522 GNR851985:GNR851986 GNR786449:GNR786450 GNR720913:GNR720914 GNR655377:GNR655378 GNR589841:GNR589842 GNR524305:GNR524306 GNR458769:GNR458770 GNR393233:GNR393234 GNR327697:GNR327698 GNR262161:GNR262162 GNR196625:GNR196626 GNR131089:GNR131090 GNR65553:GNR65554 GDV983057:GDV983058 GDV917521:GDV917522 GDV851985:GDV851986 GDV786449:GDV786450 GDV720913:GDV720914 GDV655377:GDV655378 GDV589841:GDV589842 GDV524305:GDV524306 GDV458769:GDV458770 GDV393233:GDV393234 GDV327697:GDV327698 GDV262161:GDV262162 GDV196625:GDV196626 GDV131089:GDV131090 GDV65553:GDV65554 FTZ983057:FTZ983058 FTZ917521:FTZ917522 FTZ851985:FTZ851986 FTZ786449:FTZ786450 FTZ720913:FTZ720914 FTZ655377:FTZ655378 FTZ589841:FTZ589842 FTZ524305:FTZ524306 FTZ458769:FTZ458770 FTZ393233:FTZ393234 FTZ327697:FTZ327698 FTZ262161:FTZ262162 FTZ196625:FTZ196626 FTZ131089:FTZ131090 FTZ65553:FTZ65554 FKD983057:FKD983058 FKD917521:FKD917522 FKD851985:FKD851986 FKD786449:FKD786450 FKD720913:FKD720914 FKD655377:FKD655378 FKD589841:FKD589842 FKD524305:FKD524306 FKD458769:FKD458770 FKD393233:FKD393234 FKD327697:FKD327698 FKD262161:FKD262162 FKD196625:FKD196626 FKD131089:FKD131090 FKD65553:FKD65554 FAH983057:FAH983058 FAH917521:FAH917522 FAH851985:FAH851986 FAH786449:FAH786450 FAH720913:FAH720914 FAH655377:FAH655378 FAH589841:FAH589842 FAH524305:FAH524306 FAH458769:FAH458770 FAH393233:FAH393234 FAH327697:FAH327698 FAH262161:FAH262162 FAH196625:FAH196626 FAH131089:FAH131090 FAH65553:FAH65554 EQL983057:EQL983058 EQL917521:EQL917522 EQL851985:EQL851986 EQL786449:EQL786450 EQL720913:EQL720914 EQL655377:EQL655378 EQL589841:EQL589842 EQL524305:EQL524306 EQL458769:EQL458770 EQL393233:EQL393234 EQL327697:EQL327698 EQL262161:EQL262162 EQL196625:EQL196626 EQL131089:EQL131090 EQL65553:EQL65554 EGP983057:EGP983058 EGP917521:EGP917522 EGP851985:EGP851986 EGP786449:EGP786450 EGP720913:EGP720914 EGP655377:EGP655378 EGP589841:EGP589842 EGP524305:EGP524306 EGP458769:EGP458770 EGP393233:EGP393234 EGP327697:EGP327698 EGP262161:EGP262162 EGP196625:EGP196626 EGP131089:EGP131090 EGP65553:EGP65554 DWT983057:DWT983058 DWT917521:DWT917522 DWT851985:DWT851986 DWT786449:DWT786450 DWT720913:DWT720914 DWT655377:DWT655378 DWT589841:DWT589842 DWT524305:DWT524306 DWT458769:DWT458770 DWT393233:DWT393234 DWT327697:DWT327698 DWT262161:DWT262162 DWT196625:DWT196626 DWT131089:DWT131090 DWT65553:DWT65554 DMX983057:DMX983058 DMX917521:DMX917522 DMX851985:DMX851986 DMX786449:DMX786450 DMX720913:DMX720914 DMX655377:DMX655378 DMX589841:DMX589842 DMX524305:DMX524306 DMX458769:DMX458770 DMX393233:DMX393234 DMX327697:DMX327698 DMX262161:DMX262162 DMX196625:DMX196626 DMX131089:DMX131090 DMX65553:DMX65554 DDB983057:DDB983058 DDB917521:DDB917522 DDB851985:DDB851986 DDB786449:DDB786450 DDB720913:DDB720914 DDB655377:DDB655378 DDB589841:DDB589842 DDB524305:DDB524306 DDB458769:DDB458770 DDB393233:DDB393234 DDB327697:DDB327698 DDB262161:DDB262162 DDB196625:DDB196626 DDB131089:DDB131090 DDB65553:DDB65554 CTF983057:CTF983058 CTF917521:CTF917522 CTF851985:CTF851986 CTF786449:CTF786450 CTF720913:CTF720914 CTF655377:CTF655378 CTF589841:CTF589842 CTF524305:CTF524306 CTF458769:CTF458770 CTF393233:CTF393234 CTF327697:CTF327698 CTF262161:CTF262162 CTF196625:CTF196626 CTF131089:CTF131090 CTF65553:CTF65554 CJJ983057:CJJ983058 CJJ917521:CJJ917522 CJJ851985:CJJ851986 CJJ786449:CJJ786450 CJJ720913:CJJ720914 CJJ655377:CJJ655378 CJJ589841:CJJ589842 CJJ524305:CJJ524306 CJJ458769:CJJ458770 CJJ393233:CJJ393234 CJJ327697:CJJ327698 CJJ262161:CJJ262162 CJJ196625:CJJ196626 CJJ131089:CJJ131090 CJJ65553:CJJ65554 BZN983057:BZN983058 BZN917521:BZN917522 BZN851985:BZN851986 BZN786449:BZN786450 BZN720913:BZN720914 BZN655377:BZN655378 BZN589841:BZN589842 BZN524305:BZN524306 BZN458769:BZN458770 BZN393233:BZN393234 BZN327697:BZN327698 BZN262161:BZN262162 BZN196625:BZN196626 BZN131089:BZN131090 BZN65553:BZN65554 BPR983057:BPR983058 BPR917521:BPR917522 BPR851985:BPR851986 BPR786449:BPR786450 BPR720913:BPR720914 BPR655377:BPR655378 BPR589841:BPR589842 BPR524305:BPR524306 BPR458769:BPR458770 BPR393233:BPR393234 BPR327697:BPR327698 BPR262161:BPR262162 BPR196625:BPR196626 BPR131089:BPR131090 BPR65553:BPR65554 BFV983057:BFV983058 BFV917521:BFV917522 BFV851985:BFV851986 BFV786449:BFV786450 BFV720913:BFV720914 BFV655377:BFV655378 BFV589841:BFV589842 BFV524305:BFV524306 BFV458769:BFV458770 BFV393233:BFV393234 BFV327697:BFV327698 BFV262161:BFV262162 BFV196625:BFV196626 BFV131089:BFV131090 BFV65553:BFV65554 AVZ983057:AVZ983058 AVZ917521:AVZ917522 AVZ851985:AVZ851986 AVZ786449:AVZ786450 AVZ720913:AVZ720914 AVZ655377:AVZ655378 AVZ589841:AVZ589842 AVZ524305:AVZ524306 AVZ458769:AVZ458770 AVZ393233:AVZ393234 AVZ327697:AVZ327698 AVZ262161:AVZ262162 AVZ196625:AVZ196626 AVZ131089:AVZ131090 AVZ65553:AVZ65554 AMD983057:AMD983058 AMD917521:AMD917522 AMD851985:AMD851986 AMD786449:AMD786450 AMD720913:AMD720914 AMD655377:AMD655378 AMD589841:AMD589842 AMD524305:AMD524306 AMD458769:AMD458770 AMD393233:AMD393234 AMD327697:AMD327698 AMD262161:AMD262162 AMD196625:AMD196626 AMD131089:AMD131090 AMD65553:AMD65554 ACH983057:ACH983058 ACH917521:ACH917522 ACH851985:ACH851986 ACH786449:ACH786450 ACH720913:ACH720914 ACH655377:ACH655378 ACH589841:ACH589842 ACH524305:ACH524306 ACH458769:ACH458770 ACH393233:ACH393234 ACH327697:ACH327698 ACH262161:ACH262162 ACH196625:ACH196626 ACH131089:ACH131090 ACH65553:ACH65554 SL983057:SL983058 SL917521:SL917522 SL851985:SL851986 SL786449:SL786450 SL720913:SL720914 SL655377:SL655378 SL589841:SL589842 SL524305:SL524306 SL458769:SL458770 SL393233:SL393234 SL327697:SL327698 SL262161:SL262162 SL196625:SL196626 SL131089:SL131090 SL65553:SL65554 IP983057:IP983058 IP917521:IP917522 IP851985:IP851986 IP786449:IP786450 IP720913:IP720914 IP655377:IP655378 IP589841:IP589842 IP524305:IP524306 IP458769:IP458770 IP393233:IP393234 IP327697:IP327698 IP262161:IP262162 IP196625:IP196626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TAX-INVOICE A5</vt:lpstr>
      <vt:lpstr>COM-INVOICE A5</vt:lpstr>
      <vt:lpstr>TAX INVOICE</vt:lpstr>
      <vt:lpstr>COM-INVOICE </vt:lpstr>
      <vt:lpstr>USD-ACLEDA-HIMVYBOTH-09-2025</vt:lpstr>
      <vt:lpstr>Petty Cash-UM-May, 2023</vt:lpstr>
      <vt:lpstr>TOTAL</vt:lpstr>
      <vt:lpstr>URATA-ER-March, 2022</vt:lpstr>
      <vt:lpstr>'COM-INVOICE '!Print_Area</vt:lpstr>
      <vt:lpstr>'Petty Cash-UM-May, 2023'!Print_Area</vt:lpstr>
      <vt:lpstr>'TAX INVOICE'!Print_Area</vt:lpstr>
      <vt:lpstr>TOTAL!Print_Area</vt:lpstr>
      <vt:lpstr>'URATA-ER-March, 2022'!Print_Area</vt:lpstr>
      <vt:lpstr>'USD-ACLEDA-HIMVYBOTH-09-2025'!Print_Area</vt:lpstr>
      <vt:lpstr>'COM-INVOICE '!Print_Titles</vt:lpstr>
      <vt:lpstr>'TAX INVOICE'!Print_Titles</vt:lpstr>
      <vt:lpstr>'URATA-ER-March, 2022'!Print_Titles</vt:lpstr>
      <vt:lpstr>'USD-ACLEDA-HIMVYBOTH-09-2025'!Print_Titles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REAN-iT រៀនអាយធី</cp:lastModifiedBy>
  <cp:lastPrinted>2025-12-06T07:57:02Z</cp:lastPrinted>
  <dcterms:created xsi:type="dcterms:W3CDTF">2014-05-12T07:53:00Z</dcterms:created>
  <dcterms:modified xsi:type="dcterms:W3CDTF">2025-12-06T09:47:06Z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